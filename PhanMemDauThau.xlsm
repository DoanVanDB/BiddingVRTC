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505e9ce3351453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DV\11. Dau_Thau\15. PhanMemDauThau\"/>
    </mc:Choice>
  </mc:AlternateContent>
  <xr:revisionPtr revIDLastSave="0" documentId="13_ncr:1_{C8AE7322-9FBE-4B9B-855D-EFE1CDE42174}" xr6:coauthVersionLast="47" xr6:coauthVersionMax="47" xr10:uidLastSave="{00000000-0000-0000-0000-000000000000}"/>
  <bookViews>
    <workbookView xWindow="38280" yWindow="-12780" windowWidth="16440" windowHeight="28320" tabRatio="852" xr2:uid="{00000000-000D-0000-FFFF-FFFF00000000}"/>
  </bookViews>
  <sheets>
    <sheet name="Menu" sheetId="48" r:id="rId1"/>
    <sheet name="Config" sheetId="54" state="hidden" r:id="rId2"/>
    <sheet name="OutputDauThau" sheetId="56" r:id="rId3"/>
    <sheet name="InputDauThau" sheetId="27" state="hidden" r:id="rId4"/>
    <sheet name="DL_NhaThau" sheetId="29" state="hidden" r:id="rId5"/>
    <sheet name="DL_CB" sheetId="28" state="hidden" r:id="rId6"/>
    <sheet name="DL_DinhMucDuToan" sheetId="55" state="hidden" r:id="rId7"/>
    <sheet name="TongDT" sheetId="35" state="hidden" r:id="rId8"/>
    <sheet name="CLD" sheetId="39" state="hidden" r:id="rId9"/>
    <sheet name="NVL" sheetId="47" state="hidden" r:id="rId10"/>
    <sheet name="TTB" sheetId="53" state="hidden" r:id="rId11"/>
    <sheet name="CKhac" sheetId="52" state="hidden" r:id="rId12"/>
    <sheet name="DL_HH" sheetId="5" state="hidden" r:id="rId13"/>
    <sheet name="InputDuToan" sheetId="33" state="hidden" r:id="rId14"/>
    <sheet name="ChiTietKP_DuToan" sheetId="34" state="hidden" r:id="rId15"/>
    <sheet name="NhapKho" sheetId="1" r:id="rId16"/>
    <sheet name="XuatKho" sheetId="2" state="hidden" r:id="rId17"/>
    <sheet name="TonKho" sheetId="3" state="hidden" r:id="rId18"/>
  </sheets>
  <functionGroups builtInGroupCount="19"/>
  <definedNames>
    <definedName name="_xlnm._FilterDatabase" localSheetId="14" hidden="1">ChiTietKP_DuToan!$A$3:$R$248</definedName>
    <definedName name="_xlnm._FilterDatabase" localSheetId="5" hidden="1">DL_CB!$C$1:$C$476</definedName>
    <definedName name="_xlnm._FilterDatabase" localSheetId="3" hidden="1">InputDauThau!$AA$3:$AK$5</definedName>
    <definedName name="_xlnm._FilterDatabase" localSheetId="15" hidden="1">NhapKho!$C$1:$K$2</definedName>
    <definedName name="AppBuiltTime">Config!$B$8</definedName>
    <definedName name="Bang2_KoDT">InputDauThau!$T$4:$X$4</definedName>
    <definedName name="DL_NhapKho">NhapKho!$A$1:$L$4</definedName>
    <definedName name="DLG_CanBo">DL_CB!$A$4:$Q$476</definedName>
    <definedName name="DLG_DinhMuc">DL_DinhMucDuToan!$A$3:$F$41</definedName>
    <definedName name="DLG_DonVi">DL_CB!$S$4:$X$9</definedName>
    <definedName name="DLG_HH">DL_HH!$A$4:$K$521</definedName>
    <definedName name="DLG_NhaThau">DL_NhaThau!$A$4:$M$15</definedName>
    <definedName name="dsGoiThau">InputDauThau!$D$4:$R$5</definedName>
    <definedName name="dsNT_BiLoai">InputDauThau!$AN$4:$AP$4</definedName>
    <definedName name="dsNT_ThamDu">InputDauThau!$AA$4:$AK$5</definedName>
    <definedName name="HS_tiencong">InputDuToan!$I$4:$K$7</definedName>
    <definedName name="LuongCS">InputDuToan!$I$1</definedName>
    <definedName name="_xlnm.Print_Area" localSheetId="17">TonKho!$A$1:$O$63</definedName>
  </definedNames>
  <calcPr calcId="191029"/>
  <pivotCaches>
    <pivotCache cacheId="0" r:id="rId19"/>
    <pivotCache cacheId="1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3" i="27" l="1"/>
  <c r="X5" i="28"/>
  <c r="X6" i="28"/>
  <c r="X7" i="28"/>
  <c r="X8" i="28"/>
  <c r="X9" i="28"/>
  <c r="X4" i="28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tc={3F170EF3-6187-41C6-AFD1-B28BEC1C6DE5}</author>
  </authors>
  <commentList>
    <comment ref="A211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Nửa giá trị</t>
      </text>
    </comment>
  </commentList>
</comments>
</file>

<file path=xl/sharedStrings.xml><?xml version="1.0" encoding="utf-8"?>
<sst xmlns="http://schemas.openxmlformats.org/spreadsheetml/2006/main" count="7658" uniqueCount="4069">
  <si>
    <t>Mã hàng</t>
  </si>
  <si>
    <t>ĐVT</t>
  </si>
  <si>
    <t>Tình trạng</t>
  </si>
  <si>
    <t>Vị trí</t>
  </si>
  <si>
    <t>Thành tiền</t>
  </si>
  <si>
    <t>Mã phiếu</t>
  </si>
  <si>
    <t>Mới</t>
  </si>
  <si>
    <t>NO</t>
  </si>
  <si>
    <t>vật liệu sắt</t>
  </si>
  <si>
    <t>Tên tiếng việt</t>
  </si>
  <si>
    <t>Tên tiếng anh</t>
  </si>
  <si>
    <t>Đường dẫn ảnh</t>
  </si>
  <si>
    <t>Quy cách</t>
  </si>
  <si>
    <t>Kích thước</t>
  </si>
  <si>
    <t>Màu sắc</t>
  </si>
  <si>
    <t>Chất liệu</t>
  </si>
  <si>
    <t>Số lượng</t>
  </si>
  <si>
    <t>Đơn giá</t>
  </si>
  <si>
    <t>Ngày nhập kho</t>
  </si>
  <si>
    <t>Người nhập</t>
  </si>
  <si>
    <t>Nhóm danh mục</t>
  </si>
  <si>
    <t>Ngày xuất kho</t>
  </si>
  <si>
    <t>Người xuất kho</t>
  </si>
  <si>
    <t>Người nhận</t>
  </si>
  <si>
    <t>DB15</t>
  </si>
  <si>
    <t>Label14</t>
  </si>
  <si>
    <t>Mẫu thép CT3</t>
  </si>
  <si>
    <t>CT3 sample</t>
  </si>
  <si>
    <t>Tấm</t>
  </si>
  <si>
    <t>50 x 50 x 5 mm</t>
  </si>
  <si>
    <t>Xám</t>
  </si>
  <si>
    <t>Thép CT3</t>
  </si>
  <si>
    <t>tấm</t>
  </si>
  <si>
    <t>DB16</t>
  </si>
  <si>
    <t>Mẫu thép 8OX13</t>
  </si>
  <si>
    <t>8OX13 sample</t>
  </si>
  <si>
    <t>Vân</t>
  </si>
  <si>
    <t>21/06/2023</t>
  </si>
  <si>
    <t>Huy</t>
  </si>
  <si>
    <t>X01</t>
  </si>
  <si>
    <t>Số hóa đơn</t>
  </si>
  <si>
    <t>Mã quản lý</t>
  </si>
  <si>
    <t>Tên tiếng Nga</t>
  </si>
  <si>
    <t>DB19</t>
  </si>
  <si>
    <t>Xuất xứ</t>
  </si>
  <si>
    <t>Đơn vị tính</t>
  </si>
  <si>
    <t>Nga</t>
  </si>
  <si>
    <t>Thông số kỹ thuật</t>
  </si>
  <si>
    <t>Phân nhóm</t>
  </si>
  <si>
    <t>Mẫu thép 8OX16</t>
  </si>
  <si>
    <t>DB20</t>
  </si>
  <si>
    <t>Mẫu thép 8OX17</t>
  </si>
  <si>
    <t>DB21</t>
  </si>
  <si>
    <t>Mẫu thép 8OX18</t>
  </si>
  <si>
    <t>DB22</t>
  </si>
  <si>
    <t>Mẫu thép 8OX19</t>
  </si>
  <si>
    <t>DB23</t>
  </si>
  <si>
    <t>Mẫu thép 8OX20</t>
  </si>
  <si>
    <t>DB25</t>
  </si>
  <si>
    <t>Mẫu thép 8OX22</t>
  </si>
  <si>
    <t>DB27</t>
  </si>
  <si>
    <t>Mẫu thép 8OX24</t>
  </si>
  <si>
    <t>TT</t>
  </si>
  <si>
    <t>Long</t>
  </si>
  <si>
    <t>Quang</t>
  </si>
  <si>
    <t>X02</t>
  </si>
  <si>
    <t>DB14</t>
  </si>
  <si>
    <t>Ngô Thanh Bình</t>
  </si>
  <si>
    <t>Chi nhánh Phía Nam</t>
  </si>
  <si>
    <t>Đỗ Thị Tuyết Nhung</t>
  </si>
  <si>
    <t>Hoàng Đức Quang</t>
  </si>
  <si>
    <t>Vũ Văn Huy</t>
  </si>
  <si>
    <t>CỬA HÀNG VẬT TƯ KHOA HỌC MTH</t>
  </si>
  <si>
    <t>Ký hiệu</t>
  </si>
  <si>
    <t>[[QD_ToChuyenGia]]</t>
  </si>
  <si>
    <t>[[QD_ToChuyenGia_d]]</t>
  </si>
  <si>
    <t>[[QD_ToChuyenGia_d_c]]</t>
  </si>
  <si>
    <t>[[QD_ToThamDinh]]</t>
  </si>
  <si>
    <t>[[QD_TTD_d]]</t>
  </si>
  <si>
    <t>[[QD_TTD_d_c]]</t>
  </si>
  <si>
    <t>[[TTD_1]]</t>
  </si>
  <si>
    <t>[[TTD_2]]</t>
  </si>
  <si>
    <t>[[TTD_3]]</t>
  </si>
  <si>
    <t>[[ToCGia_1_cc_cap]]</t>
  </si>
  <si>
    <t>[[ToCGia_2_cc_cap]]</t>
  </si>
  <si>
    <t>[[ToCGia_3_cc_cap]]</t>
  </si>
  <si>
    <t>[[TTD_1_dc]]</t>
  </si>
  <si>
    <t>[[TTD_2_dc]]</t>
  </si>
  <si>
    <t>[[TTD_3_dc]]</t>
  </si>
  <si>
    <t>[[TTD_1_cm]]</t>
  </si>
  <si>
    <t>[[TTD_2_cm]]</t>
  </si>
  <si>
    <t>[[TTD_3_cm]]</t>
  </si>
  <si>
    <t>[[TTD_1_cc]]</t>
  </si>
  <si>
    <t>[[TTD_2_cc]]</t>
  </si>
  <si>
    <t>[[TTD_3_cc]]</t>
  </si>
  <si>
    <t>[[ToCGia_1_cd]]</t>
  </si>
  <si>
    <t>[[ToCGia_2_cd]]</t>
  </si>
  <si>
    <t>[[ToCGia_3_cd]]</t>
  </si>
  <si>
    <t>[[TTD_1_cd]]</t>
  </si>
  <si>
    <t>[[TTD_2_cd]]</t>
  </si>
  <si>
    <t>[[TTD_3_cd]]</t>
  </si>
  <si>
    <t>[[ToCGia_1]]</t>
  </si>
  <si>
    <t>[[ToCGia_2]]</t>
  </si>
  <si>
    <t>[[ToCGia_3]]</t>
  </si>
  <si>
    <t>[[ToCGia_1_cc]]</t>
  </si>
  <si>
    <t>[[ToCGia_2_cc]]</t>
  </si>
  <si>
    <t>[[ToCGia_3_cc]]</t>
  </si>
  <si>
    <t>[[KHLCNT_qd]]</t>
  </si>
  <si>
    <t>[[GUQ]]</t>
  </si>
  <si>
    <t>[[E_KHLCNT]]</t>
  </si>
  <si>
    <t>[[E_KHLCNT_d]]</t>
  </si>
  <si>
    <t>[[BaoDauThau]]</t>
  </si>
  <si>
    <t>[[BaoDauThau_d]]</t>
  </si>
  <si>
    <t>[[SoBao]]</t>
  </si>
  <si>
    <t>[[TTrHSMT_d]]</t>
  </si>
  <si>
    <t>[[TTrHSMT_d_c]]</t>
  </si>
  <si>
    <t>[[ThamDinh_HSMT_d]]</t>
  </si>
  <si>
    <t>[[ThamDinh_HSMT_d_c]]</t>
  </si>
  <si>
    <t>[[MoThau_gio]]</t>
  </si>
  <si>
    <t>[[EHSDT_HieuLuc]]</t>
  </si>
  <si>
    <t>[[BD_DuThau]]</t>
  </si>
  <si>
    <t>[[BD_DuThau_HieuLuc]]</t>
  </si>
  <si>
    <t>[[Dthu_nam]]</t>
  </si>
  <si>
    <t>[[HD_Ttu]]</t>
  </si>
  <si>
    <t>[[HD_Ttu_TongGT]]</t>
  </si>
  <si>
    <t>[[E_TBMT]]</t>
  </si>
  <si>
    <t>[[E_TBMT_d]]</t>
  </si>
  <si>
    <t>[[TBMT_d]]</t>
  </si>
  <si>
    <t>[[TBMT_d_c]]</t>
  </si>
  <si>
    <t>[[BB_MoThau_d]]</t>
  </si>
  <si>
    <t>[[BB_MoThau_d_c]]</t>
  </si>
  <si>
    <t>[[HSMT_qd]]</t>
  </si>
  <si>
    <t>[[HSMT_qd_d]]</t>
  </si>
  <si>
    <t>[[HSMT_qd_d_c]]</t>
  </si>
  <si>
    <t>[[BD_HD_HieuLuc]]</t>
  </si>
  <si>
    <t>[[BCDG_d]]</t>
  </si>
  <si>
    <t>[[BCDG_d_c]]</t>
  </si>
  <si>
    <t>[[NhaThau]]</t>
  </si>
  <si>
    <t>[[NhaThau_dc]]</t>
  </si>
  <si>
    <t>[[TB_ThuongThao_d]]</t>
  </si>
  <si>
    <t>[[TB_ThuongThao_d_c]]</t>
  </si>
  <si>
    <t>[[BaoDam_HD]]</t>
  </si>
  <si>
    <t>[[BaoDam_HD_chu]]</t>
  </si>
  <si>
    <t>[[NhaThau_DinhDanh]]</t>
  </si>
  <si>
    <t>[[NhaThau_dt]]</t>
  </si>
  <si>
    <t>[[NhaThau_tk]]</t>
  </si>
  <si>
    <t>[[NhaThau_ky]]</t>
  </si>
  <si>
    <t>[[NhaThau_ky_cv]]</t>
  </si>
  <si>
    <t>[[TTHD]]</t>
  </si>
  <si>
    <t>[[TTHD_d]]</t>
  </si>
  <si>
    <t>[[TTHD_d_c]]</t>
  </si>
  <si>
    <t>[[TTHD_ky]]</t>
  </si>
  <si>
    <t>[[TietKiem]]</t>
  </si>
  <si>
    <t>[[TietKiem_chu]]</t>
  </si>
  <si>
    <t>[[GiaTrungThau]]</t>
  </si>
  <si>
    <t>[[GiaTrungThau_chu]]</t>
  </si>
  <si>
    <t>[[TTr_KQLCNT_d]]</t>
  </si>
  <si>
    <t>[[TTr_KQLCNT_d_c]]</t>
  </si>
  <si>
    <t>[[BCTD_KQ_d]]</t>
  </si>
  <si>
    <t>[[BCTD_KQ_d_c]]</t>
  </si>
  <si>
    <t>[[TB_TrungThau_d]]</t>
  </si>
  <si>
    <t>[[TB_TrungThau_d_c]]</t>
  </si>
  <si>
    <t>[[BanGiaoNT_d]]</t>
  </si>
  <si>
    <t>[[BanGiaoNT_d_c]]</t>
  </si>
  <si>
    <t>[[KQLCNT_qd]]</t>
  </si>
  <si>
    <t>[[KQLCNT_qd_d]]</t>
  </si>
  <si>
    <t>[[KQLCNT_qd_d_c]]</t>
  </si>
  <si>
    <t>[[HopDong]]</t>
  </si>
  <si>
    <t>[[HopDong_d]]</t>
  </si>
  <si>
    <t>[[HopDong_d_c]]</t>
  </si>
  <si>
    <t>[[HD_ky]]</t>
  </si>
  <si>
    <t>[[HD_ky_cv]]</t>
  </si>
  <si>
    <t>[[HoaDon_kh]]</t>
  </si>
  <si>
    <t>[[HoaDon_d]]</t>
  </si>
  <si>
    <t>[[HoaDon_d_c]]</t>
  </si>
  <si>
    <t>[[CNDT_ru]]</t>
  </si>
  <si>
    <t>[[KP_VN]]</t>
  </si>
  <si>
    <t>[[KP_VN_chu]]</t>
  </si>
  <si>
    <t>[[KP_RU]]</t>
  </si>
  <si>
    <t>[[KP_RU_chu]]</t>
  </si>
  <si>
    <t>[[NhaThau_RU]]</t>
  </si>
  <si>
    <t>Họ tên</t>
  </si>
  <si>
    <t>Chức vụ</t>
  </si>
  <si>
    <t>Địa chỉ</t>
  </si>
  <si>
    <t>CMND</t>
  </si>
  <si>
    <t>Ngày cấp</t>
  </si>
  <si>
    <t>Nơi cấp</t>
  </si>
  <si>
    <t>Đơn vị</t>
  </si>
  <si>
    <t>Đơn vị_tắt</t>
  </si>
  <si>
    <t>Số ĐT</t>
  </si>
  <si>
    <t>Email</t>
  </si>
  <si>
    <t>Nguyễn Hữu Luyện</t>
  </si>
  <si>
    <t>Số 3 đường 3 tháng 2, P.11, Q.10, TP.HCM</t>
  </si>
  <si>
    <t>TTNĐVN</t>
  </si>
  <si>
    <t>129-01/CFTD-inn/2010</t>
  </si>
  <si>
    <t>Phòng Độ bền Nhiệt đới</t>
  </si>
  <si>
    <t>ĐBNĐ</t>
  </si>
  <si>
    <t>luyen.mta@gmail.com</t>
  </si>
  <si>
    <t>Nguyễn Chí Cường</t>
  </si>
  <si>
    <t>089CB132019</t>
  </si>
  <si>
    <t>nguyenchicuong.cc@gmail.com</t>
  </si>
  <si>
    <t>Đinh Thị Vân</t>
  </si>
  <si>
    <t>087CB0132019</t>
  </si>
  <si>
    <t>dinhthivan2004@gmail.com</t>
  </si>
  <si>
    <t>CA Quảng Bình</t>
  </si>
  <si>
    <t>069CB0132019</t>
  </si>
  <si>
    <t>quanghoang1510@gmail.com</t>
  </si>
  <si>
    <t>Hoàng Thanh Long</t>
  </si>
  <si>
    <t>Cục Cảnh sát quản lý hành chính về trật tự xã hội</t>
  </si>
  <si>
    <t>014-DTCB100822/KHXD</t>
  </si>
  <si>
    <t>Công ty Cổ phần Khoa học Xây dựng</t>
  </si>
  <si>
    <t>hoangthanhlong.ndvn@gmail.com</t>
  </si>
  <si>
    <t>086CB132019</t>
  </si>
  <si>
    <t>huy241989@gmail.com</t>
  </si>
  <si>
    <t>064085000114</t>
  </si>
  <si>
    <t>002-DTCB100822/KHXD</t>
  </si>
  <si>
    <t>binhbauman85@gmail.com</t>
  </si>
  <si>
    <t>Nguyễn Thị Thu Xuân</t>
  </si>
  <si>
    <t>032-DTCB100822/KHXD</t>
  </si>
  <si>
    <t>nguyenthithuxuan92@gmail.com</t>
  </si>
  <si>
    <t>Đoàn Thanh Vân</t>
  </si>
  <si>
    <t>037089009969</t>
  </si>
  <si>
    <t>doanvan.ttndvn@gmail.com</t>
  </si>
  <si>
    <t>PTMT</t>
  </si>
  <si>
    <t>Lê Đức Mạnh</t>
  </si>
  <si>
    <t>Trần Thị Lệ Thu</t>
  </si>
  <si>
    <t>Ban Tài chính</t>
  </si>
  <si>
    <t>Trần Tiến Mạnh</t>
  </si>
  <si>
    <t>Nguyễn Thị Thanh Nga</t>
  </si>
  <si>
    <t>Đặng Văn Đông</t>
  </si>
  <si>
    <t>Giám đốc</t>
  </si>
  <si>
    <t>Nhà thầu</t>
  </si>
  <si>
    <t>ĐKKD</t>
  </si>
  <si>
    <t>Nơi cấp ĐKKD</t>
  </si>
  <si>
    <t>MST</t>
  </si>
  <si>
    <t>ĐT</t>
  </si>
  <si>
    <t>Fax</t>
  </si>
  <si>
    <t>Tài khoản</t>
  </si>
  <si>
    <t>Đại diện</t>
  </si>
  <si>
    <t>Mã ngân hàng</t>
  </si>
  <si>
    <t>Ký hiệu hóa đơn</t>
  </si>
  <si>
    <t>Cửa hàng trưởng</t>
  </si>
  <si>
    <t>Cửa hàng hóa chất và thiết bị 40 Kim Ngưu</t>
  </si>
  <si>
    <t>01D8010957</t>
  </si>
  <si>
    <t>UBND Quận Hai Bà Trưng cấp lần thứ 2 ngày 02/4/2019</t>
  </si>
  <si>
    <t>Số 40 Kim Ngưu, Phường Thanh Nhàn, Quận Hai Bà Trưng, Hà Nội</t>
  </si>
  <si>
    <t>211.100010.97525 Tại ngân hàng TMCP Đầu tư và phát triển Việt Nam – Chi nhánh Hà Nội. Mã ngân hàng: 01202001</t>
  </si>
  <si>
    <t>Nguyễn Đức Việt</t>
  </si>
  <si>
    <t>Cửa hàng Vật tư Khoa học Kỹ thuật Hóa chất Thiết bị Hoàng Kim Cát</t>
  </si>
  <si>
    <t xml:space="preserve">Tổ dân phố Miêu Nha, Tây Mỗ, Nam Từ Liêm, Hà Nội </t>
  </si>
  <si>
    <t>2010000440584, tại Ngân hàng  BIDV chi nhánh Thăng Long, Hà Nội</t>
  </si>
  <si>
    <t>Hoàng Kim Cát</t>
  </si>
  <si>
    <t>CỬA HÀNG DỊCH VỤ THƯƠNG MẠI HÀ THANH</t>
  </si>
  <si>
    <t>01M8013169</t>
  </si>
  <si>
    <t>Phòng tài chính - kế hoạch Quận Hoàng Mai, TP. Hà Nội</t>
  </si>
  <si>
    <t>Số 06-P12, tổ 38 Phường Tương Mai, Quận Hoàng Mai, Hà Nội</t>
  </si>
  <si>
    <t>02466866497</t>
  </si>
  <si>
    <t>260665709, tại Ngân hàng thương mại cổ phần Á Châu (ACB) Chi nhánh Thăng Long Hà Nội</t>
  </si>
  <si>
    <t>Hà Thị Thảo</t>
  </si>
  <si>
    <t>01307004</t>
  </si>
  <si>
    <t>01M8017781</t>
  </si>
  <si>
    <t>0108022591</t>
  </si>
  <si>
    <t>Số 30A, Ngõ 142/172 tổ 27 Giáp Nhị, Phường Thịnh Liệt, Quận Hoàng Mai, TP. Hà Nội</t>
  </si>
  <si>
    <t>0916.009.850</t>
  </si>
  <si>
    <t xml:space="preserve">2175757 Tại: Ngân hàng thương mại cổ phần Á Châu (ACB) Chi nhánh Thăng Long Hà Nội  </t>
  </si>
  <si>
    <t xml:space="preserve">Hà Thị Hạnh </t>
  </si>
  <si>
    <t>Hộ kinh doanh Cửa hàng vật tư khoa học MTD</t>
  </si>
  <si>
    <t>01U8006648</t>
  </si>
  <si>
    <t>Phòng tài chính-kế hoạch Huyện Hoài Đức, TP. Hà Nội</t>
  </si>
  <si>
    <t>Xóm 1, thôn Lai Xá, xã Kim Chung, Huyện Hoài Đức, Hà Nội</t>
  </si>
  <si>
    <t>02462930919</t>
  </si>
  <si>
    <t>0080110640009 tại Ngân hàng TMCP Quân đội, chi nhánh Trần Duy Hưng, Hà Nội</t>
  </si>
  <si>
    <t>Lương Văn Duẩn</t>
  </si>
  <si>
    <t>Sở Kế hoạch và Đầu tư TP.HCM</t>
  </si>
  <si>
    <t>Công ty TNHH Thương mại Phát triển Quốc tế Trường Phát</t>
  </si>
  <si>
    <t>0315178244</t>
  </si>
  <si>
    <t>126 Lê Niệm, Phường Phú Thạnh, Quận Tân Phú, TP.HCM</t>
  </si>
  <si>
    <t>0283.73096369</t>
  </si>
  <si>
    <t>3395928 tại Ngân hàng ACB – Chi nhánh TP.HCM</t>
  </si>
  <si>
    <t xml:space="preserve">Nguyễn Thanh Ngọc </t>
  </si>
  <si>
    <t>Tổng Giám đốc</t>
  </si>
  <si>
    <t>Đỗ Tấn Tài</t>
  </si>
  <si>
    <t>Vũ Văn Thanh</t>
  </si>
  <si>
    <t>Nội dung lớn H1</t>
  </si>
  <si>
    <t>Nội dung nhỏ H2</t>
  </si>
  <si>
    <t>Đơn vị công tác</t>
  </si>
  <si>
    <t>Phòng ĐBNĐ/ CNPN</t>
  </si>
  <si>
    <t>Số ngày công quy đổi (Snc)4/ Số lượng hàng hóa</t>
  </si>
  <si>
    <t>Hệ số tiền công theo ngày (Hstcn)/ Đơn giá hàng hóa</t>
  </si>
  <si>
    <t xml:space="preserve">ND5: Xây dựng phần mềm </t>
  </si>
  <si>
    <t>link</t>
  </si>
  <si>
    <t>Row Labels</t>
  </si>
  <si>
    <t>Grand Total</t>
  </si>
  <si>
    <t>5.1. Xây dựng giao diện người dùng</t>
  </si>
  <si>
    <t>5.2. Xây dựng thuật toán và lập trình cho phần mềm</t>
  </si>
  <si>
    <t>5.2.1. Xây dựng chương trình xuất văn bản đấu thầu tự động, báo cáo đấu thầu</t>
  </si>
  <si>
    <t>5.3. Đóng gói phần mềm</t>
  </si>
  <si>
    <t>ND6: Xây dựng cơ sở dữ liệu hàng hóa, nhà thầu, tổ chuyên gia và các dữ liệu khác</t>
  </si>
  <si>
    <t>6.1. Xây dựng cơ sở dữ liệu hàng hóa</t>
  </si>
  <si>
    <t>6.2. Xây dựng cơ sở dữ liệu chuyên gia</t>
  </si>
  <si>
    <t>6.3. Xây dựng cơ sở dữ liệu nhà thầu trúng thầu trong 2 năm gần nhất</t>
  </si>
  <si>
    <t>ND7: Cài đặt, dùng thử và cải tiến</t>
  </si>
  <si>
    <t>ND8: Đào tạo sử dụng phần mềm cho cán bộ, nhân viên tại các đầu mối TTNĐVN</t>
  </si>
  <si>
    <t>7.1. Cài đặt và cho dùng thử thí điểm tại các đơn vị đầu mối thuộc TTNĐVN</t>
  </si>
  <si>
    <t>7.2. Thu thập phản hồi, cải tiến phần mềm</t>
  </si>
  <si>
    <t>7.3. Biên soạn và hiệu chỉnh Hướng dẫn sử dụng phần mềm hỗ trợ đấu thầu</t>
  </si>
  <si>
    <t>(blank)</t>
  </si>
  <si>
    <t>5.2.2. Xây dựng chương trình cập nhật dữ liệu phần mềm</t>
  </si>
  <si>
    <t>5.2.3. Xây dựng chương trình chấm công, báo cáo sử dụng công lao động</t>
  </si>
  <si>
    <t>5.2.4. Xây dựng chương trình xuất, nhập kho</t>
  </si>
  <si>
    <t>5.2.5. Xây dựng chương trình dự toán nhiệm vụ KH&amp;CN</t>
  </si>
  <si>
    <t>5.2.6. Xây dựng chương trình giải quyết các tính năng phụ trợ</t>
  </si>
  <si>
    <t>Column Labels</t>
  </si>
  <si>
    <t>- Thành viên chính</t>
  </si>
  <si>
    <t>- Thành viên</t>
  </si>
  <si>
    <t>Định mức thù lao</t>
  </si>
  <si>
    <t>Số tháng quy đổi</t>
  </si>
  <si>
    <t>Mã quản lý nội bộ</t>
  </si>
  <si>
    <t>Ban Hậu cần - Kỹ thuật</t>
  </si>
  <si>
    <t>Ban Kế hoạch Khoa học</t>
  </si>
  <si>
    <t>Trưởng ban</t>
  </si>
  <si>
    <t>Trung tâm Chuyển giao công nghệ mới</t>
  </si>
  <si>
    <t>Phòng Hậu cần - Kỹ thuật</t>
  </si>
  <si>
    <t>Trưởng phòng</t>
  </si>
  <si>
    <t>Phòng Tài chính</t>
  </si>
  <si>
    <t>[[TKCM]]</t>
  </si>
  <si>
    <t>[[TKCM_d]]</t>
  </si>
  <si>
    <t>[[TKCM_d_c]]</t>
  </si>
  <si>
    <t>[[HDTK_gt]]</t>
  </si>
  <si>
    <t>[[HDTK_gt_c]]</t>
  </si>
  <si>
    <t>[[HDTK_ngt_c]]</t>
  </si>
  <si>
    <t>[[HDTK_ngt]]</t>
  </si>
  <si>
    <t>[[ThauPhu_pt]]</t>
  </si>
  <si>
    <t>[[KL_tang]]</t>
  </si>
  <si>
    <t>[[NamXaNhat]]</t>
  </si>
  <si>
    <t>Phòng PTMT/ CNPN</t>
  </si>
  <si>
    <t>[[TTD_1_cm_d]]</t>
  </si>
  <si>
    <t>[[TTD_2_cm_d]]</t>
  </si>
  <si>
    <t>[[TTD_3_cm_d]]</t>
  </si>
  <si>
    <t>[[HoaDon]]</t>
  </si>
  <si>
    <t>ID</t>
  </si>
  <si>
    <t>Khoan_chi</t>
  </si>
  <si>
    <t>Ky_hieu_ND_H1</t>
  </si>
  <si>
    <t>Ky_hieu_ND_H2</t>
  </si>
  <si>
    <t>Ky_hieu_ND_H3</t>
  </si>
  <si>
    <t>Ky_hieu_ND_H4</t>
  </si>
  <si>
    <t>Noi_dung_H1</t>
  </si>
  <si>
    <t>Cong_viec_H2</t>
  </si>
  <si>
    <t>Cong_viec_H3</t>
  </si>
  <si>
    <t>Cong_viec_H4</t>
  </si>
  <si>
    <t>Nam</t>
  </si>
  <si>
    <t>Ho_ten/Mat_hang</t>
  </si>
  <si>
    <t>Chuc_danh_NC/Don_vi_tinh</t>
  </si>
  <si>
    <t>Tong_kinh_phi</t>
  </si>
  <si>
    <t xml:space="preserve"> Tong_kinh_phi</t>
  </si>
  <si>
    <t>Năm</t>
  </si>
  <si>
    <t>Nội dung các khoản chi</t>
  </si>
  <si>
    <t>Sum of Tong_kinh_phi</t>
  </si>
  <si>
    <t>Biểu I.4 Dự toán kinh phí nhiệm vụ</t>
  </si>
  <si>
    <t>Biểu I.5 Tổng hợp dự toán thù lao tham gia nhiệm vụ</t>
  </si>
  <si>
    <t>Sum of Số tháng quy đổi</t>
  </si>
  <si>
    <t>- Chủ nhiệm nhiệm vụ</t>
  </si>
  <si>
    <t>Tổng hợp dự toán công lao động và thù lao của thành viên đề tài theo năm</t>
  </si>
  <si>
    <t xml:space="preserve"> Số tháng quy đổi</t>
  </si>
  <si>
    <t>Total  Số tháng quy đổi</t>
  </si>
  <si>
    <t>Total Tổng kinh phí</t>
  </si>
  <si>
    <t>Cộng:</t>
  </si>
  <si>
    <t>Biểu I.6 Dự toán chi tiết thù lao tham gia nhiệm vụ</t>
  </si>
  <si>
    <t>Total Số lượng</t>
  </si>
  <si>
    <t>Đơn giá (triệu đ)</t>
  </si>
  <si>
    <t>Total Đơn giá (triệu đ)</t>
  </si>
  <si>
    <t>Thành tiền (triệu đ)</t>
  </si>
  <si>
    <t>Total Thành tiền (triệu đ)</t>
  </si>
  <si>
    <t>Biểu I.9 Chi khác thực hiện nhiệm vụ</t>
  </si>
  <si>
    <t>View tổng dự toán</t>
  </si>
  <si>
    <t>Nội dung nhỏ H3</t>
  </si>
  <si>
    <t>Nội dung nhỏ H4</t>
  </si>
  <si>
    <t>KH ND</t>
  </si>
  <si>
    <t>KH H2</t>
  </si>
  <si>
    <t>KH H3</t>
  </si>
  <si>
    <t>KH H4</t>
  </si>
  <si>
    <t>Công việc H2</t>
  </si>
  <si>
    <t>Công việc H3</t>
  </si>
  <si>
    <t>Công việc H4</t>
  </si>
  <si>
    <t>Mục 12. Các cán bộ thực hiện nhiệm vụ</t>
  </si>
  <si>
    <t>Mục 21. Tiến độ thực hiện</t>
  </si>
  <si>
    <t>Chủ tịch Hội đồng</t>
  </si>
  <si>
    <t>Tên gói thầu</t>
  </si>
  <si>
    <t>STT</t>
  </si>
  <si>
    <t>Nguồn vốn</t>
  </si>
  <si>
    <t xml:space="preserve">Hình thức LCNT  </t>
  </si>
  <si>
    <t>Phương thức LCNT</t>
  </si>
  <si>
    <t>Thời gian bắt đầu tổ chức LCNT</t>
  </si>
  <si>
    <t>Loại hợp đồng</t>
  </si>
  <si>
    <t>Tổ chức, cá nhân giám sát</t>
  </si>
  <si>
    <r>
      <t>Giá gói thầu</t>
    </r>
    <r>
      <rPr>
        <sz val="10"/>
        <color theme="1"/>
        <rFont val="Times New Roman"/>
        <family val="1"/>
      </rPr>
      <t xml:space="preserve"> </t>
    </r>
    <r>
      <rPr>
        <b/>
        <sz val="10"/>
        <color theme="1"/>
        <rFont val="Times New Roman"/>
        <family val="1"/>
      </rPr>
      <t>(đồng)</t>
    </r>
  </si>
  <si>
    <t>Lĩnh vực</t>
  </si>
  <si>
    <t>Tên đơn vị</t>
  </si>
  <si>
    <t>Chỉ huy</t>
  </si>
  <si>
    <t>Viết tắt</t>
  </si>
  <si>
    <t>Phòng Phân tích môi trường</t>
  </si>
  <si>
    <t>Nguyễn Trọng Hiệp</t>
  </si>
  <si>
    <t>Phòng Y sinh nhiệt đới</t>
  </si>
  <si>
    <t>Lương Thị Mơ</t>
  </si>
  <si>
    <t>YSNĐ</t>
  </si>
  <si>
    <t>Phòng Sinh thái nước</t>
  </si>
  <si>
    <t>Cù Nguyên Định</t>
  </si>
  <si>
    <t>STN</t>
  </si>
  <si>
    <t>Phòng Sinh thái cạn</t>
  </si>
  <si>
    <t>Vũ Mạnh</t>
  </si>
  <si>
    <t>STC</t>
  </si>
  <si>
    <t>Danh sách gói thầu</t>
  </si>
  <si>
    <t>Bảng số 2. Công việc ko áp dụng một trong các HTLCNT</t>
  </si>
  <si>
    <t>Nội dung công việc</t>
  </si>
  <si>
    <t>Đơn vị thực hiện</t>
  </si>
  <si>
    <t>Bảng 2 Nhà thầu tham dự</t>
  </si>
  <si>
    <t>[[DonViMuaSam_CH]]</t>
  </si>
  <si>
    <t>[[DonViMuaSam_t]]</t>
  </si>
  <si>
    <t>[[KP_DT]]</t>
  </si>
  <si>
    <t>[[KP_K_DT]]</t>
  </si>
  <si>
    <t>[[GoiThau_SL]]</t>
  </si>
  <si>
    <t>[[GoiThau]]</t>
  </si>
  <si>
    <t>[[GoiThau_Lvuc]]</t>
  </si>
  <si>
    <t>[[LCNT_HinhThuc]]</t>
  </si>
  <si>
    <t>[[LCNT_PThuc]]</t>
  </si>
  <si>
    <t>[[GiaDuToan]]</t>
  </si>
  <si>
    <t>[[GiaDuToan_chu]]</t>
  </si>
  <si>
    <t>[[TTr_LCNT_d]]</t>
  </si>
  <si>
    <t>[[TTr_LCNT_d_c]]</t>
  </si>
  <si>
    <t>[[KHLCNT_TD_d]]</t>
  </si>
  <si>
    <t>[[KHLCNT_TD_d_c]]</t>
  </si>
  <si>
    <t>[[KHLCNT_qd_d]]</t>
  </si>
  <si>
    <t>[[KHLCNT_qd_d_c]]</t>
  </si>
  <si>
    <t>[[GUQ_d]]</t>
  </si>
  <si>
    <t>[[CNNV]]</t>
  </si>
  <si>
    <t>[[NganSach]]</t>
  </si>
  <si>
    <t>[[TongKP]]</t>
  </si>
  <si>
    <t>[[QD_KP_d]]</t>
  </si>
  <si>
    <t>[[QD_PBo]]</t>
  </si>
  <si>
    <t>[[QD_Pbo_so]]</t>
  </si>
  <si>
    <t>[[QD_Pbo_d]]</t>
  </si>
  <si>
    <t>[[DonViMuaSam]]</t>
  </si>
  <si>
    <t>Acetone</t>
  </si>
  <si>
    <t>TQ</t>
  </si>
  <si>
    <t>chai</t>
  </si>
  <si>
    <t>DB0016</t>
  </si>
  <si>
    <t>Axit sunfuric</t>
  </si>
  <si>
    <t>bộ</t>
  </si>
  <si>
    <t>DB153</t>
  </si>
  <si>
    <t>DB125</t>
  </si>
  <si>
    <t>DB306</t>
  </si>
  <si>
    <t>DB156</t>
  </si>
  <si>
    <t>DB155</t>
  </si>
  <si>
    <t>DB158</t>
  </si>
  <si>
    <t>DB311</t>
  </si>
  <si>
    <t>Đường dẫn</t>
  </si>
  <si>
    <t>Tài khoản demo</t>
  </si>
  <si>
    <t>Tên đăng nhập</t>
  </si>
  <si>
    <t>Mật khẩu</t>
  </si>
  <si>
    <t>Đường dẫn file template</t>
  </si>
  <si>
    <t>Tên template</t>
  </si>
  <si>
    <t>Cong ty B</t>
  </si>
  <si>
    <t xml:space="preserve">Sở Kế hoạch và đầu tư </t>
  </si>
  <si>
    <t>Phố hàng mành</t>
  </si>
  <si>
    <t>1234564 NH MB</t>
  </si>
  <si>
    <t>Trần Thị C</t>
  </si>
  <si>
    <t>hykMB</t>
  </si>
  <si>
    <t>So KHDT TP Ha Noi</t>
  </si>
  <si>
    <t>Acetone 98%</t>
  </si>
  <si>
    <t>Đoàn Vân</t>
  </si>
  <si>
    <t>Luyện</t>
  </si>
  <si>
    <t>[[ChuTri]]</t>
  </si>
  <si>
    <t>[[E-KQLCNT_d]]</t>
  </si>
  <si>
    <t>[[TongKP_c]]</t>
  </si>
  <si>
    <t>[[KP_DT_c]]</t>
  </si>
  <si>
    <t>[[KP_K_DT_c]]</t>
  </si>
  <si>
    <t>[[CQ_ChuQuan]]</t>
  </si>
  <si>
    <t>[[PhanLoai]]</t>
  </si>
  <si>
    <t>[[DuAn]]</t>
  </si>
  <si>
    <t>[[ThoiGianThucHien]]</t>
  </si>
  <si>
    <t>Thời gian LCNT (ngày)</t>
  </si>
  <si>
    <t>Project đấu thầu đang thực hiện</t>
  </si>
  <si>
    <t>068CB0142020</t>
  </si>
  <si>
    <t>[[LCNT_total]]</t>
  </si>
  <si>
    <t>[[LCNT_bd]]</t>
  </si>
  <si>
    <t>[[HopDong_loai]]</t>
  </si>
  <si>
    <t>[[GT_GiamSat]]</t>
  </si>
  <si>
    <t>[[TLHD]]</t>
  </si>
  <si>
    <t>[[Bang8a]]</t>
  </si>
  <si>
    <t>Đại biểu tham dự</t>
  </si>
  <si>
    <t>[[TLHD_c]]</t>
  </si>
  <si>
    <t>Ngày cấp CCĐT</t>
  </si>
  <si>
    <t>Nơi cấp CCĐT</t>
  </si>
  <si>
    <t>Số CCĐT</t>
  </si>
  <si>
    <t>[[GT_DiaDiem]]</t>
  </si>
  <si>
    <t>Tóm tắt công việc chính của gói thầu</t>
  </si>
  <si>
    <t>Tùy chọn mua thêm</t>
  </si>
  <si>
    <t>Nguyễn Văn Thịnh</t>
  </si>
  <si>
    <t>Phiên bản</t>
  </si>
  <si>
    <t>Trung tâm hỗ trợ đấu thầu/Cục Quản lý đấu thầu</t>
  </si>
  <si>
    <t>Nguyễn Danh Quế</t>
  </si>
  <si>
    <t>99-07/CFTD-inn/2011</t>
  </si>
  <si>
    <t>Công ty CP CFTD Sáng Tạo/ Sở KHĐT Hà Nội</t>
  </si>
  <si>
    <t>Trung tâm đào tạo CFTD/ Sở KHĐT Hà Nội</t>
  </si>
  <si>
    <t>Nguyễn Thúy Nhàn</t>
  </si>
  <si>
    <t>HCKT</t>
  </si>
  <si>
    <t>TC</t>
  </si>
  <si>
    <t>Nguyễn Đức Thịnh</t>
  </si>
  <si>
    <t>Phòng Độ bền nhiệt đới</t>
  </si>
  <si>
    <t>Bảng dữ liệu hàng hóa các gói thầu</t>
  </si>
  <si>
    <t>[[QD_KP_nd]]</t>
  </si>
  <si>
    <t>[[QD_KP_so]]</t>
  </si>
  <si>
    <t>Ngày xuất bản</t>
  </si>
  <si>
    <t>Khoản chi</t>
  </si>
  <si>
    <t>Đối tượng</t>
  </si>
  <si>
    <t>Cấp Bộ Quốc phòng</t>
  </si>
  <si>
    <t>Cấp cơ sở</t>
  </si>
  <si>
    <t>Thù lao thực hiện NV</t>
  </si>
  <si>
    <t>-</t>
  </si>
  <si>
    <t>Hội thảo, diễn đàn, tọa đàm khoa học</t>
  </si>
  <si>
    <t>Chủ trì</t>
  </si>
  <si>
    <t>Buổi</t>
  </si>
  <si>
    <t>Thư ký khoa học</t>
  </si>
  <si>
    <t>Báo cáo viên (có trình bày)</t>
  </si>
  <si>
    <t>Báo cáo</t>
  </si>
  <si>
    <t>Báo cáo khoa học (không trình bày)</t>
  </si>
  <si>
    <t>Thành viên tham gia</t>
  </si>
  <si>
    <t>Người/buổi</t>
  </si>
  <si>
    <t>Hội đồng tư vấn xác định NV</t>
  </si>
  <si>
    <t>VNĐ/người</t>
  </si>
  <si>
    <t>Phó chủ tịch HĐ</t>
  </si>
  <si>
    <t>Thành viên HĐ</t>
  </si>
  <si>
    <t>Thư ký hành chính</t>
  </si>
  <si>
    <t>Nhận xét đánh giá của UVHĐ</t>
  </si>
  <si>
    <t>VNĐ/phiếu</t>
  </si>
  <si>
    <t>Nhận xét đánh giá của UVPB</t>
  </si>
  <si>
    <t>Hội đồng tư vấn tuyển chọn, giao trực tiếp tổ chức, cá nhân chủ trì nhiệm vụ</t>
  </si>
  <si>
    <t>Hội đồng tư vấn đánh giá nghiệm thu</t>
  </si>
  <si>
    <t>Tổ thẩm định kinh phí</t>
  </si>
  <si>
    <t>Tổ trưởng</t>
  </si>
  <si>
    <t>Thành viên</t>
  </si>
  <si>
    <t>Theo hướng dẫn 2752 BQP</t>
  </si>
  <si>
    <t>Total Đơn giá</t>
  </si>
  <si>
    <t>Max Đơn giá</t>
  </si>
  <si>
    <t>Total Max Đơn giá</t>
  </si>
  <si>
    <t>Total  Tong_kinh_phi</t>
  </si>
  <si>
    <t>SolvedFolder văn bản đấu thầu</t>
  </si>
  <si>
    <t>Path folder chấm công</t>
  </si>
  <si>
    <t>Đơn vị đầu mối</t>
  </si>
  <si>
    <t>Ban Tổng Giám đốc</t>
  </si>
  <si>
    <t>Văn phòng</t>
  </si>
  <si>
    <t>Văn phòng phân ban Việt Nam</t>
  </si>
  <si>
    <t>Thanh tra quốc phòng</t>
  </si>
  <si>
    <t>Ủy ban kiểm tra đảng</t>
  </si>
  <si>
    <t>Phòng Chính trị</t>
  </si>
  <si>
    <t>Phòng Kế hoạch Khoa học</t>
  </si>
  <si>
    <t>Phòng Đào tạo</t>
  </si>
  <si>
    <t>Phòng Thông tin Khoa học Quân sự</t>
  </si>
  <si>
    <t>Phòng Quản lý chuyển giao công nghệ</t>
  </si>
  <si>
    <t>Ban Quản lý các khu chế thử</t>
  </si>
  <si>
    <t>Ban Công nghệ thông tin</t>
  </si>
  <si>
    <t>Viện Độ bền nhiệt đới</t>
  </si>
  <si>
    <t>Viện Sinh thái nhiệt đới</t>
  </si>
  <si>
    <t>Viện Y sinh nhiệt đới</t>
  </si>
  <si>
    <t>Phân viện công nghệ sinh học</t>
  </si>
  <si>
    <t>Phân viện Hóa - Môi trường</t>
  </si>
  <si>
    <t>Chi nhánh Ven Biển</t>
  </si>
  <si>
    <t>Phòng, ban</t>
  </si>
  <si>
    <t>Ban Đối ngoại</t>
  </si>
  <si>
    <t>Tổ Lễ tân</t>
  </si>
  <si>
    <t>Ban Tác huấn</t>
  </si>
  <si>
    <t>Nhà khách Linh Lang</t>
  </si>
  <si>
    <t>Ban Quân lực</t>
  </si>
  <si>
    <t>Ban Văn thư - Lưu trữ</t>
  </si>
  <si>
    <t>Tiểu đội tổng đài</t>
  </si>
  <si>
    <t>Ban Tổ chức</t>
  </si>
  <si>
    <t>Ban Cán bộ - Chính sách</t>
  </si>
  <si>
    <t>Ban Tuyên huấn</t>
  </si>
  <si>
    <t>Ban KHCN &amp; MT</t>
  </si>
  <si>
    <t>Ban Giám đốc</t>
  </si>
  <si>
    <t>Ban Doanh trại - Đầu tư</t>
  </si>
  <si>
    <t>Ban Xăng dầu</t>
  </si>
  <si>
    <t>Phòng Vật liệu</t>
  </si>
  <si>
    <t>Phòng Kỹ thuật nhiệt đới</t>
  </si>
  <si>
    <t>Phòng Thử nghiệm tổng hợp</t>
  </si>
  <si>
    <t>Trạm nghiên cứu thử nghiệm Hòa Lạc</t>
  </si>
  <si>
    <t>Phòng thích nghi và y học quân sự</t>
  </si>
  <si>
    <t>Phòng Dược học</t>
  </si>
  <si>
    <t>Trung tâm NC-ĐTKTC</t>
  </si>
  <si>
    <t>Phòng Vi sinh</t>
  </si>
  <si>
    <t>Phòng Sinh hóa</t>
  </si>
  <si>
    <t>Ban Hành chính Tổng hợp</t>
  </si>
  <si>
    <t>Ban Chính trị</t>
  </si>
  <si>
    <t>Trung tâm Ôxi cao áp</t>
  </si>
  <si>
    <t>Trạm nghiên cứu ứng dụng và thử nghiệm</t>
  </si>
  <si>
    <t>Phòng Sinh thái Nhiệt đới</t>
  </si>
  <si>
    <t>Trạm nghiên cứu thử nghiệm Đầm Báy</t>
  </si>
  <si>
    <t>Bộ phận Hành chính</t>
  </si>
  <si>
    <t>Bộ phận Chính trị</t>
  </si>
  <si>
    <t>Bộ phận Hậu cần - Kỹ thuật</t>
  </si>
  <si>
    <t>Bộ phận Tài chính</t>
  </si>
  <si>
    <t>Phòng Kỹ thuật thương mại</t>
  </si>
  <si>
    <t>Xưởng sản xuất</t>
  </si>
  <si>
    <t>Đặng Hồng Triển</t>
  </si>
  <si>
    <t>Phạm Duy Nam</t>
  </si>
  <si>
    <t>Nguyễn Phi Long</t>
  </si>
  <si>
    <t>Nguyễn Khắc Thăng</t>
  </si>
  <si>
    <t>Đặng Đình Chính</t>
  </si>
  <si>
    <t>Nguyễn Việt Hiền</t>
  </si>
  <si>
    <t>Nguyễn Minh Tuấn</t>
  </si>
  <si>
    <t>Nguyễn Ngọc Ký</t>
  </si>
  <si>
    <t>Nguyễn Thiên Khánh</t>
  </si>
  <si>
    <t>Đinh Quốc Hưng</t>
  </si>
  <si>
    <t>Nguyễn Thị Bích Thảo</t>
  </si>
  <si>
    <t>Nguyễn Xuân Đăng</t>
  </si>
  <si>
    <t>Nguyễn Thuý Nga</t>
  </si>
  <si>
    <t>Vũ Thị Hồng</t>
  </si>
  <si>
    <t>Đặng T. Ngọc Loan</t>
  </si>
  <si>
    <t>Vũ Thị Trang</t>
  </si>
  <si>
    <t>Đỗ Đại Đồng</t>
  </si>
  <si>
    <t>Đỗ Văn An</t>
  </si>
  <si>
    <t>Hạ Nam</t>
  </si>
  <si>
    <t>Đặng Văn Thêm</t>
  </si>
  <si>
    <t>Đào Thị Tuyết Mai</t>
  </si>
  <si>
    <t>Nguyễn Xuân Trường</t>
  </si>
  <si>
    <t>Trương Thị Ngọc Thuý</t>
  </si>
  <si>
    <t>Trần Thị Thu Hà</t>
  </si>
  <si>
    <t>Trương Thị Linh</t>
  </si>
  <si>
    <t>Lê Minh Hạnh</t>
  </si>
  <si>
    <t>Nguyễn Thị Mỹ</t>
  </si>
  <si>
    <t>Nguyễn Văn Duy</t>
  </si>
  <si>
    <t>Đoàn Thanh Cảnh</t>
  </si>
  <si>
    <t>Nguyễn Quang Việt</t>
  </si>
  <si>
    <t>Nguyễn T. Khánh Lỉnh</t>
  </si>
  <si>
    <t>Nguyễn Xuân Bình</t>
  </si>
  <si>
    <t>Nguyễn Thị Kim Oanh</t>
  </si>
  <si>
    <t>Lê Thanh Huyền</t>
  </si>
  <si>
    <t>Nguyễn Đình Sâm</t>
  </si>
  <si>
    <t>Trần Thu Thủy</t>
  </si>
  <si>
    <t>Nguyễn Thanh Bình</t>
  </si>
  <si>
    <t>Vũ Văn Diện</t>
  </si>
  <si>
    <t>Phạm Việt Hải</t>
  </si>
  <si>
    <t>Phạm Ngọc Đoàn</t>
  </si>
  <si>
    <t>Vũ Ngọc Anh</t>
  </si>
  <si>
    <t>Hà Văn Toàn</t>
  </si>
  <si>
    <t>Nguyễn Văn Tuế</t>
  </si>
  <si>
    <t>Nguyễn Thị Hiên</t>
  </si>
  <si>
    <t>Nguyễn Huy Hoàng</t>
  </si>
  <si>
    <t>Trần Đức Cường</t>
  </si>
  <si>
    <t>Vũ Thị Nga</t>
  </si>
  <si>
    <t>Thái Như Quỳnh</t>
  </si>
  <si>
    <t>Nguyễn Hoàng Minh</t>
  </si>
  <si>
    <t>Quách Đình Hợi</t>
  </si>
  <si>
    <t>Khuất Duy Hải</t>
  </si>
  <si>
    <t>Nguyễn Đình Chiến</t>
  </si>
  <si>
    <t>Nguyễn Hồng Phong</t>
  </si>
  <si>
    <t>Nguyễn Đức Anh</t>
  </si>
  <si>
    <t>Nguyễn Văn Lượng</t>
  </si>
  <si>
    <t>Nguyễn Thị Huyền</t>
  </si>
  <si>
    <t>Tăng Xuân Dương</t>
  </si>
  <si>
    <t>Hoàng Việt Anh</t>
  </si>
  <si>
    <t>Nguyễn Đặng Thành</t>
  </si>
  <si>
    <t>Nguyễn Trung Hiếu</t>
  </si>
  <si>
    <t>Phan Anh Thư</t>
  </si>
  <si>
    <t>Nguyễn Thị Quỳnh Hoa</t>
  </si>
  <si>
    <t>Hoàng Minh Tuấn</t>
  </si>
  <si>
    <t>Nguyễn Đức Thọ</t>
  </si>
  <si>
    <t>Đỗ Đình Lăng</t>
  </si>
  <si>
    <t>Tạ Ánh Dương</t>
  </si>
  <si>
    <t>Lưu Mạnh Cường</t>
  </si>
  <si>
    <t>Đậu Tiến Anh</t>
  </si>
  <si>
    <t>Trần Văn Hợp</t>
  </si>
  <si>
    <t>Nguyễn Thị Hải Yến</t>
  </si>
  <si>
    <t>Bùi Trung Dũng</t>
  </si>
  <si>
    <t>Nguyễn Ngọc Tuấn Anh</t>
  </si>
  <si>
    <t>Lưu Hải Đăng</t>
  </si>
  <si>
    <t>Đào Hải Yến</t>
  </si>
  <si>
    <t>Triệu Quốc Đạt</t>
  </si>
  <si>
    <t>Nguyễn Sỹ An</t>
  </si>
  <si>
    <t>Cung Thị Thanh Thuỷ</t>
  </si>
  <si>
    <t>Nguyễn Thị Thanh Loan</t>
  </si>
  <si>
    <t>Chu Đức Thành</t>
  </si>
  <si>
    <t>Đặng Thanh Hương</t>
  </si>
  <si>
    <t>Bùi Huy Hoàng</t>
  </si>
  <si>
    <t>Nguyễn Hữu Hiển</t>
  </si>
  <si>
    <t>Trần Huy Hoàng</t>
  </si>
  <si>
    <t>Vũ Thị Thanh Huyền</t>
  </si>
  <si>
    <t>Nguyễn Thị Thu Thuỷ</t>
  </si>
  <si>
    <t>Phùng Danh Chung</t>
  </si>
  <si>
    <t>Phạm Ngọc Quyền</t>
  </si>
  <si>
    <t>Trần Văn Bình</t>
  </si>
  <si>
    <t>Đinh Hoàng Minh</t>
  </si>
  <si>
    <t>Lưu Quốc Thành</t>
  </si>
  <si>
    <t>Phạm Thị Thuý Hà</t>
  </si>
  <si>
    <t>Phạm Việt Bắc</t>
  </si>
  <si>
    <t>Đỗ Thị Quyên</t>
  </si>
  <si>
    <t>Hà Thị Minh Phượng</t>
  </si>
  <si>
    <t>Ngô Thị Nhàn</t>
  </si>
  <si>
    <t>Trần Thị Loan</t>
  </si>
  <si>
    <t>Vũ Việt Hà</t>
  </si>
  <si>
    <t>Lê Thị Phương Huyền</t>
  </si>
  <si>
    <t>Cao Thùy Dương</t>
  </si>
  <si>
    <t>Khổng Thu Hỉền</t>
  </si>
  <si>
    <t>Nguyễn Thị Hồng Hạnh</t>
  </si>
  <si>
    <t>Nguyễn Thị Lan Hương</t>
  </si>
  <si>
    <t>Lê Văn Long</t>
  </si>
  <si>
    <t>Ngô Văn Diện</t>
  </si>
  <si>
    <t>Nguyễn Xuân Ngọc</t>
  </si>
  <si>
    <t>Nguyễn Thị Lam</t>
  </si>
  <si>
    <t>Nguyễn Thị Hằng</t>
  </si>
  <si>
    <t>Vũ Thùy Linh</t>
  </si>
  <si>
    <t>Phạm Thị Thu</t>
  </si>
  <si>
    <t>Nguyễn Thị Thanh Tâm</t>
  </si>
  <si>
    <t>Nguyễn Xuân Nghĩa</t>
  </si>
  <si>
    <t>Nguyễn Văn Trường</t>
  </si>
  <si>
    <t>Phạm Thanh Bình</t>
  </si>
  <si>
    <t>Phạm Tú Thắng</t>
  </si>
  <si>
    <t>Lê Thúy Nhung</t>
  </si>
  <si>
    <t>Trần Thu Phương</t>
  </si>
  <si>
    <t>Nguyễn Tố Phong</t>
  </si>
  <si>
    <t>Lý Đình Hưng</t>
  </si>
  <si>
    <t>Nguyễn Thế Hiệp</t>
  </si>
  <si>
    <t>Nguyễn Văn Đức</t>
  </si>
  <si>
    <t>Ngô Thị Thu Hằng</t>
  </si>
  <si>
    <t>Vũ Thị Hồng Lan</t>
  </si>
  <si>
    <t>Chu Tiến Duy</t>
  </si>
  <si>
    <t>Nguyễn Thị Dân</t>
  </si>
  <si>
    <t>Nguyễn Thị Anh Thảo</t>
  </si>
  <si>
    <t>Vũ Huy Hải</t>
  </si>
  <si>
    <t>Trần Văn Lâm</t>
  </si>
  <si>
    <t>Trịnh Văn Nghĩa</t>
  </si>
  <si>
    <t>Lê Minh Huấn</t>
  </si>
  <si>
    <t>Trần Trung Kiên</t>
  </si>
  <si>
    <t>Nguyễn Văn Thọ</t>
  </si>
  <si>
    <t>Hoàng Quốc Huy</t>
  </si>
  <si>
    <t>Phan Trọng Dương</t>
  </si>
  <si>
    <t>Nguyễn Thị Lan</t>
  </si>
  <si>
    <t>Vương Văn Trường</t>
  </si>
  <si>
    <t>Hà Hữu Sơn</t>
  </si>
  <si>
    <t>Nguyễn Văn Bộ</t>
  </si>
  <si>
    <t>Hoàng Văn Chung</t>
  </si>
  <si>
    <t>Bùi Huyền Như</t>
  </si>
  <si>
    <t>Hà Ngọc Thiện</t>
  </si>
  <si>
    <t>Vũ Trần Dương</t>
  </si>
  <si>
    <t>Bùi Thị Hồng Phương</t>
  </si>
  <si>
    <t>Bùi Khánh Hòa</t>
  </si>
  <si>
    <t>Nguyễn Hữu Đông</t>
  </si>
  <si>
    <t>Hoàng Như Kha</t>
  </si>
  <si>
    <t>Vũ Thị Huyên</t>
  </si>
  <si>
    <t>Đỗ Tiến Tùng</t>
  </si>
  <si>
    <t>Đồng Phạm Khôi</t>
  </si>
  <si>
    <t>Phan Văn Trường</t>
  </si>
  <si>
    <t>Nguyễn Mạnh Thảo</t>
  </si>
  <si>
    <t>Hoàng Long</t>
  </si>
  <si>
    <t>Lương Xuân Tiến</t>
  </si>
  <si>
    <t>Lê Quỳnh Ngân</t>
  </si>
  <si>
    <t>Nguyễn Văn Thành</t>
  </si>
  <si>
    <t>Đỗ Minh Hiếu</t>
  </si>
  <si>
    <t>Lê Minh Thảo</t>
  </si>
  <si>
    <t>Đặng Minh Thủy</t>
  </si>
  <si>
    <t>Đỗ Đình Trung</t>
  </si>
  <si>
    <t>Chử Minh Tiến</t>
  </si>
  <si>
    <t>Đào Thanh Thùy</t>
  </si>
  <si>
    <t>Đào Kiên Cường</t>
  </si>
  <si>
    <t>Nguyễn Văn Vinh</t>
  </si>
  <si>
    <t>Nguyễn Thị Lanh</t>
  </si>
  <si>
    <t>Tạ Thu Trang</t>
  </si>
  <si>
    <t>Nguyễn Thị Hồng Ngọc</t>
  </si>
  <si>
    <t>Hà Minh Ngọc</t>
  </si>
  <si>
    <t>Nguyễn Viết Thắng</t>
  </si>
  <si>
    <t>Doãn Quý Hiếu</t>
  </si>
  <si>
    <t>Nguyễn Đình Trung</t>
  </si>
  <si>
    <t>Trần Thị Tuyến</t>
  </si>
  <si>
    <t>Tô Ngọc Vân</t>
  </si>
  <si>
    <t>Nguyễn Văn Nghiêm</t>
  </si>
  <si>
    <t>Nguyễn Đình Bình</t>
  </si>
  <si>
    <t>Nguyễn Đức Nghĩa</t>
  </si>
  <si>
    <t>Đinh Vũ Anh Tú</t>
  </si>
  <si>
    <t>Ngô Trung Dũng</t>
  </si>
  <si>
    <t>Lê Xuân Đắc</t>
  </si>
  <si>
    <t>Trần Hữu Côi</t>
  </si>
  <si>
    <t>Phạm Hồng Phương</t>
  </si>
  <si>
    <t>Nguyễn Hữu Thực</t>
  </si>
  <si>
    <t>Đinh Thế Dũng</t>
  </si>
  <si>
    <t>Phạm Mai Phương</t>
  </si>
  <si>
    <t>Đặng Ngọc Huyền</t>
  </si>
  <si>
    <t>Trần Thị Thanh Hương</t>
  </si>
  <si>
    <t>Nguyễn Vũ Anh</t>
  </si>
  <si>
    <t>Phùng Thanh Tùng</t>
  </si>
  <si>
    <t>Ngô Quang Đức</t>
  </si>
  <si>
    <t>Phạm Thanh Hải</t>
  </si>
  <si>
    <t>Vũ Đình Duy</t>
  </si>
  <si>
    <t>Đặng Hùng Cường</t>
  </si>
  <si>
    <t>Phạm Thị Hà Giang</t>
  </si>
  <si>
    <t>Đàm Quang Toàn</t>
  </si>
  <si>
    <t>Trần Quốc Hoàn</t>
  </si>
  <si>
    <t>Vũ Quyết Thành</t>
  </si>
  <si>
    <t>Lê Nam Hưng</t>
  </si>
  <si>
    <t>Trần Thị Hoàng Vân</t>
  </si>
  <si>
    <t>Trần Văn Đạt</t>
  </si>
  <si>
    <t>Nguyễn Tài Tú</t>
  </si>
  <si>
    <t>Đỗ Hữu Quyết</t>
  </si>
  <si>
    <t>Nguyễn Tâm Thành</t>
  </si>
  <si>
    <t>Phùng Văn Giỏi</t>
  </si>
  <si>
    <t>Đào Nguyên Mạnh</t>
  </si>
  <si>
    <t>Nguyễn Thành Trung</t>
  </si>
  <si>
    <t>Lê Văn Cường</t>
  </si>
  <si>
    <t>Trần Đức Huynh</t>
  </si>
  <si>
    <t>Phạm Ngọc An</t>
  </si>
  <si>
    <t>Đặng Đức Quân</t>
  </si>
  <si>
    <t>Phạm Mai Trinh</t>
  </si>
  <si>
    <t>Phùng Quang Tùng</t>
  </si>
  <si>
    <t>Nguyễn Thị Hưởng</t>
  </si>
  <si>
    <t>Hoàng Thị Thu Thủy</t>
  </si>
  <si>
    <t>Cấn Thị Chung</t>
  </si>
  <si>
    <t>Hà Thị Kiều Trang</t>
  </si>
  <si>
    <t>Nguyễn Hải Hà</t>
  </si>
  <si>
    <t>Nguyễn Thu Hoài</t>
  </si>
  <si>
    <t>Hoàng Quang Cường</t>
  </si>
  <si>
    <t>Trần Thị Thanh Thúy</t>
  </si>
  <si>
    <t>Ngô Cao Cường</t>
  </si>
  <si>
    <t>Đỗ Thị Thu Hồng</t>
  </si>
  <si>
    <t>Lê Văn Thắng</t>
  </si>
  <si>
    <t>Phạm Thị Thu Huyền</t>
  </si>
  <si>
    <t>Đặng Thị Hồng Phương</t>
  </si>
  <si>
    <t>Phùng Đức Tấn</t>
  </si>
  <si>
    <t>Đỗ Thị Tuyến</t>
  </si>
  <si>
    <t>Võ Thị Hoài Thu</t>
  </si>
  <si>
    <t>Vũ Duy Nhàn</t>
  </si>
  <si>
    <t>Nguyễn Công Tỉnh</t>
  </si>
  <si>
    <t>Đinh Thị Thu Trang</t>
  </si>
  <si>
    <t>Đỗ Thị Thúy</t>
  </si>
  <si>
    <t>Lê Thị Huệ</t>
  </si>
  <si>
    <t>Nghiêm Xuân Trường</t>
  </si>
  <si>
    <t>Lê Bảo Hưng</t>
  </si>
  <si>
    <t>Hoàng Hải Thụy</t>
  </si>
  <si>
    <t>Nguyễn Trọng Dân</t>
  </si>
  <si>
    <t>Nguyễn Quang Huy</t>
  </si>
  <si>
    <t>Phan Xuân Thịnh</t>
  </si>
  <si>
    <t>Bùi Xuân Túy</t>
  </si>
  <si>
    <t>Nguyễn Thị Thắm</t>
  </si>
  <si>
    <t>Phạm Thị Thanh Lan</t>
  </si>
  <si>
    <t>Trương Thị Huệ</t>
  </si>
  <si>
    <t>Hoàng Thị Dao Linh</t>
  </si>
  <si>
    <t>Nguyễn Hoàn</t>
  </si>
  <si>
    <t>Trương Quang Hiệp</t>
  </si>
  <si>
    <t>Trương Thị Minh Thu</t>
  </si>
  <si>
    <t>Nguyễn Văn Hoàng Việt</t>
  </si>
  <si>
    <t>Nguyễn Thị Vân</t>
  </si>
  <si>
    <t>Đỗ Phong Lưu</t>
  </si>
  <si>
    <t>Vũ Trọng Hiếu</t>
  </si>
  <si>
    <t>Nguyễn Văn Linh</t>
  </si>
  <si>
    <t>Trương Thị Ngân</t>
  </si>
  <si>
    <t>Lê Thị Hồng Thắm</t>
  </si>
  <si>
    <t>Dương Thị Kim Chi</t>
  </si>
  <si>
    <t>Lê Quang Mẫn</t>
  </si>
  <si>
    <t>Trương Bá Hải</t>
  </si>
  <si>
    <t>Trần Văn Tiến</t>
  </si>
  <si>
    <t>Nguyễn Văn Thành Nam</t>
  </si>
  <si>
    <t>Nguyễn Văn Hiệp</t>
  </si>
  <si>
    <t>Trần Văn Trưởng</t>
  </si>
  <si>
    <t>Nguyễn Thị Dung</t>
  </si>
  <si>
    <t>Nguyễn Tuấn Anh</t>
  </si>
  <si>
    <t>Phan Ngọc Tú</t>
  </si>
  <si>
    <t>Nguyễn Như Hưng</t>
  </si>
  <si>
    <t>Ngô Quang Huy</t>
  </si>
  <si>
    <t>Đặng Văn Trung</t>
  </si>
  <si>
    <t>Phạm Hữu Nhật</t>
  </si>
  <si>
    <t>Hoàng Anh Tuấn</t>
  </si>
  <si>
    <t>Bùi Sỹ Mạnh</t>
  </si>
  <si>
    <t>Ngô Thị Vân</t>
  </si>
  <si>
    <t>Trần Thị Vân</t>
  </si>
  <si>
    <t>Nông Ngọc Sơn</t>
  </si>
  <si>
    <t>Hà Thị Kim Huệ</t>
  </si>
  <si>
    <t>Nguyễn Thái Hòa</t>
  </si>
  <si>
    <t>Trần Thu Hà</t>
  </si>
  <si>
    <t>Phạm Trọng Tùng</t>
  </si>
  <si>
    <t>Mai Khoa Thức</t>
  </si>
  <si>
    <t>Trần Như Hảo</t>
  </si>
  <si>
    <t>Nông Quốc Quảng</t>
  </si>
  <si>
    <t>Phan Bá Tứ</t>
  </si>
  <si>
    <t>Vũ Khắc Hoàn</t>
  </si>
  <si>
    <t>Lã Thị Thanh Tuyết</t>
  </si>
  <si>
    <t>Thái Duy Tình</t>
  </si>
  <si>
    <t>Đinh Đức Toàn</t>
  </si>
  <si>
    <t>Nguyễn Văn Chi</t>
  </si>
  <si>
    <t>Lê Hồng Quân</t>
  </si>
  <si>
    <t>Cao Nhật Linh</t>
  </si>
  <si>
    <t>Đồng Văn Kiên</t>
  </si>
  <si>
    <t>Lê Thị Mỹ Hiệp</t>
  </si>
  <si>
    <t>Nguyễn Thị Hải Thanh</t>
  </si>
  <si>
    <t>Vũ Việt Dũng</t>
  </si>
  <si>
    <t>Đinh Thị Hải Yến</t>
  </si>
  <si>
    <t>Nguyễn Phương Liên</t>
  </si>
  <si>
    <t>Mai Văn Minh</t>
  </si>
  <si>
    <t>Trần Văn Bằng</t>
  </si>
  <si>
    <t>Bùi Huy Trà</t>
  </si>
  <si>
    <t>Phan Thanh Xuân</t>
  </si>
  <si>
    <t>Nguyễn Như Thiên</t>
  </si>
  <si>
    <t>Hoàng Đắc Chí</t>
  </si>
  <si>
    <t>Mai Thị Hạnh</t>
  </si>
  <si>
    <t>Ngô Thị Phương Thảo</t>
  </si>
  <si>
    <t>Hoàng Mạnh Triền</t>
  </si>
  <si>
    <t>Nguyễn Quốc Vân</t>
  </si>
  <si>
    <t>Võ Thị Hạnh</t>
  </si>
  <si>
    <t>Nguyễn Xuân Hướng</t>
  </si>
  <si>
    <t>Đoàn Xuân Hùng</t>
  </si>
  <si>
    <t>Nguyễn Thị Viền</t>
  </si>
  <si>
    <t>Lê Thị Nga</t>
  </si>
  <si>
    <t>Lê Thị Thủy</t>
  </si>
  <si>
    <t>Phạm Thị Mỹ Nhân</t>
  </si>
  <si>
    <t>Phan Thị Thu Hà</t>
  </si>
  <si>
    <t>Nguyễn Cảnh Vương</t>
  </si>
  <si>
    <t>Điêu Cao Đức</t>
  </si>
  <si>
    <t>Nguyễn Sỹ Hiền</t>
  </si>
  <si>
    <t>Phạm Minh Nam</t>
  </si>
  <si>
    <t>Phó Tổng Giám đốc</t>
  </si>
  <si>
    <t>Chánh văn phòng</t>
  </si>
  <si>
    <t>Phó Trưởng phòng</t>
  </si>
  <si>
    <t>Viện trưởng</t>
  </si>
  <si>
    <t>Phó Viện trưởng</t>
  </si>
  <si>
    <t>Phó giám đốc</t>
  </si>
  <si>
    <t>PT. Trưởng phòng</t>
  </si>
  <si>
    <t>Phó Giám đốc</t>
  </si>
  <si>
    <t>Phân viện trưởng</t>
  </si>
  <si>
    <t>Phó Phân viện trưởng</t>
  </si>
  <si>
    <t>Chính trị viên</t>
  </si>
  <si>
    <t>Phó trưởng ban</t>
  </si>
  <si>
    <t>PT. Trưởng ban</t>
  </si>
  <si>
    <t>Trạm trưởng</t>
  </si>
  <si>
    <t>Phó Trạm trưởng</t>
  </si>
  <si>
    <t>0986.930.860</t>
  </si>
  <si>
    <t>0398.797.391</t>
  </si>
  <si>
    <t>0988.264.382</t>
  </si>
  <si>
    <t>0989.207.789</t>
  </si>
  <si>
    <t>0942.338.399</t>
  </si>
  <si>
    <t>0913.346.759</t>
  </si>
  <si>
    <t>0912.175.528</t>
  </si>
  <si>
    <t>0984908485</t>
  </si>
  <si>
    <t>0989.331.023</t>
  </si>
  <si>
    <t>0988.425.828</t>
  </si>
  <si>
    <t>0947.107.995</t>
  </si>
  <si>
    <t>0902.227.579</t>
  </si>
  <si>
    <t>0986.865.457</t>
  </si>
  <si>
    <t>0936.332.201</t>
  </si>
  <si>
    <t>0972.123.476</t>
  </si>
  <si>
    <t>0888.691.886</t>
  </si>
  <si>
    <t>0986.677.234</t>
  </si>
  <si>
    <t>0816.499.313</t>
  </si>
  <si>
    <t>0987.877.096</t>
  </si>
  <si>
    <t>0916.986.882</t>
  </si>
  <si>
    <t>0349.835.119</t>
  </si>
  <si>
    <t>0987556168</t>
  </si>
  <si>
    <t>0988.581.971</t>
  </si>
  <si>
    <t>0971.510.292</t>
  </si>
  <si>
    <t>0348.689.937</t>
  </si>
  <si>
    <t>0989.062.369</t>
  </si>
  <si>
    <t>0989.099.089</t>
  </si>
  <si>
    <t>0986.871.107</t>
  </si>
  <si>
    <t>0983.394.016</t>
  </si>
  <si>
    <t>0383.079.588</t>
  </si>
  <si>
    <t>0962.451.833</t>
  </si>
  <si>
    <t>0986.109.694</t>
  </si>
  <si>
    <t>0976.177.083</t>
  </si>
  <si>
    <t>0982.060.429</t>
  </si>
  <si>
    <t>0363.604.832</t>
  </si>
  <si>
    <t>0941.9S5.666</t>
  </si>
  <si>
    <t>0989.326.268</t>
  </si>
  <si>
    <t>0908268018</t>
  </si>
  <si>
    <t>0364.879.691</t>
  </si>
  <si>
    <t>0865272.061</t>
  </si>
  <si>
    <t>0984400436</t>
  </si>
  <si>
    <t>0946288651</t>
  </si>
  <si>
    <t>0983827581</t>
  </si>
  <si>
    <t>0986.249.296</t>
  </si>
  <si>
    <t>0983.701.440</t>
  </si>
  <si>
    <t>0917.145.914</t>
  </si>
  <si>
    <t>0906.220.112</t>
  </si>
  <si>
    <t>0973.574.894</t>
  </si>
  <si>
    <t>0988.847.832</t>
  </si>
  <si>
    <t>TemplateFolder văn bản đấu thầu (set up trong fDT_DauThau)</t>
  </si>
  <si>
    <t>Phạm Thanh Tùng</t>
  </si>
  <si>
    <t>Nguyễn Văn Tám</t>
  </si>
  <si>
    <t>Nguyễn Thu Phương</t>
  </si>
  <si>
    <t>Ngô Văn Trọng</t>
  </si>
  <si>
    <t>Nguyễn Hùng Thái</t>
  </si>
  <si>
    <t>Lê Anh Tuân</t>
  </si>
  <si>
    <t>Phạm Đại Dương</t>
  </si>
  <si>
    <t>Nguyễn Thị Phương</t>
  </si>
  <si>
    <t>Đỗ Xuân Mạnh</t>
  </si>
  <si>
    <t>Lê Đức Thắng</t>
  </si>
  <si>
    <t>Phạm Cao Cường</t>
  </si>
  <si>
    <t>Vũ Mạnh Cường</t>
  </si>
  <si>
    <t>Vũ Thế Hùng</t>
  </si>
  <si>
    <t>Phạm Thu Hương</t>
  </si>
  <si>
    <t>Đặng Văn Hân</t>
  </si>
  <si>
    <t>Lưu Văn Quang</t>
  </si>
  <si>
    <t>Nguyễn Thế Lợi</t>
  </si>
  <si>
    <t>Hà Tuấn Anh</t>
  </si>
  <si>
    <t>Nguyễn Khắc Toàn</t>
  </si>
  <si>
    <t>Nguyễn Hà Anh</t>
  </si>
  <si>
    <t>Nguyễn Đăng Hội</t>
  </si>
  <si>
    <t>Bùi Xuân Phương</t>
  </si>
  <si>
    <t>Hoàng Thị Thùy Dương</t>
  </si>
  <si>
    <t>Nguyễn Thị Loan</t>
  </si>
  <si>
    <t>Nguyễn Đình Hà</t>
  </si>
  <si>
    <t>Đinh Bá Duy</t>
  </si>
  <si>
    <t>Nguyễn Quốc Khánh</t>
  </si>
  <si>
    <t>Nguyễn Thị Phương Thảo</t>
  </si>
  <si>
    <t>Đào Thị Thu Hường</t>
  </si>
  <si>
    <t>Nguyễn Thị Chinh</t>
  </si>
  <si>
    <t>Đỗ Tất Thịnh</t>
  </si>
  <si>
    <t>Lê Xuân Sơn</t>
  </si>
  <si>
    <t>Trần Thị Nhàn</t>
  </si>
  <si>
    <t>Trịnh Khắc Sáu</t>
  </si>
  <si>
    <t>Hoàng Đức Hậu</t>
  </si>
  <si>
    <t>Võ Viết Cường</t>
  </si>
  <si>
    <t>Vũ Thị Loan</t>
  </si>
  <si>
    <t>Vũ Thị Hương Thơm</t>
  </si>
  <si>
    <t>Nguyễn Hồng Quang</t>
  </si>
  <si>
    <t>Trần Thị Nhài</t>
  </si>
  <si>
    <t>Nguyễn Thị Thùy Linh</t>
  </si>
  <si>
    <t>Bùi Thị Hương</t>
  </si>
  <si>
    <t>Lê Văn Quang</t>
  </si>
  <si>
    <t>Nguyễn Mậu Thạch</t>
  </si>
  <si>
    <t>Vũ Hoàng Giang</t>
  </si>
  <si>
    <t>Trần Thanh Tuấn</t>
  </si>
  <si>
    <t>Quách Thị Quỳnh</t>
  </si>
  <si>
    <t>Hoàng Quỳnh Ngọc</t>
  </si>
  <si>
    <t>Nguyễn Thị Thu Thủy</t>
  </si>
  <si>
    <t>Đỗ Thị Thùy Trang</t>
  </si>
  <si>
    <t>Phạm Thị Phương Liên</t>
  </si>
  <si>
    <t>Lê Thị Lan Anh</t>
  </si>
  <si>
    <t>Bùi Thị Lan Anh</t>
  </si>
  <si>
    <t>Nguyễn Ngọc Tân</t>
  </si>
  <si>
    <t>Bùi Thị Thanh Nga</t>
  </si>
  <si>
    <t>Vũ Thị Thương</t>
  </si>
  <si>
    <t>Phạm Việt Hùng</t>
  </si>
  <si>
    <t>Tạ Thị Loan</t>
  </si>
  <si>
    <t>Trịnh Văn Toàn</t>
  </si>
  <si>
    <t>Đặng Thị Việt Hương</t>
  </si>
  <si>
    <t>Phạm Thị Huế</t>
  </si>
  <si>
    <t>Nguyễn Thanh Tuấn</t>
  </si>
  <si>
    <t>Nguyễn Thị Thu</t>
  </si>
  <si>
    <t>Nguyễn Thị Thu Lý</t>
  </si>
  <si>
    <t>Nguyễn Đức Thắng</t>
  </si>
  <si>
    <t>Bùi Duy Linh</t>
  </si>
  <si>
    <t>Vũ Trung Hiếu</t>
  </si>
  <si>
    <t>Trần Đình Phiên</t>
  </si>
  <si>
    <t>Nguyễn Kim Thuỳ</t>
  </si>
  <si>
    <t>Nguyễn Thị Thu Hằng</t>
  </si>
  <si>
    <t>Cao Phương Anh</t>
  </si>
  <si>
    <t>Nguyễn Thị Năng</t>
  </si>
  <si>
    <t>Vũ Minh Châu</t>
  </si>
  <si>
    <t>Đặng Minh Quang</t>
  </si>
  <si>
    <t>Trấn Thị Thái Hà</t>
  </si>
  <si>
    <t>Trần Hoàng Nguyên</t>
  </si>
  <si>
    <t>Phạm Thị Kiều Linh</t>
  </si>
  <si>
    <t>Lê Thị Oanh</t>
  </si>
  <si>
    <t>Đoàn Thị Thanh</t>
  </si>
  <si>
    <t>Đỗ Ngọc Anh</t>
  </si>
  <si>
    <t>Nguyễn Thị Nhung</t>
  </si>
  <si>
    <t>Nguyễn Kiều Oanh</t>
  </si>
  <si>
    <t>Nguyễn Phương Nam</t>
  </si>
  <si>
    <t>Phạm Thị Duyên</t>
  </si>
  <si>
    <t>Đào Thị Hải Ẻn</t>
  </si>
  <si>
    <t>Trần Thị Hồng Mai</t>
  </si>
  <si>
    <t>Trần Thị Hằng</t>
  </si>
  <si>
    <t>Vũ Thị Minh Châu</t>
  </si>
  <si>
    <t>Mai Quang Tuyến</t>
  </si>
  <si>
    <t>Bùi Đình Thanh Hòa</t>
  </si>
  <si>
    <t>Lê Thanh Việt</t>
  </si>
  <si>
    <t>Trần Thị Minh Vân</t>
  </si>
  <si>
    <t>Chu Đức Bình</t>
  </si>
  <si>
    <t>Trần Thị Thu Trang</t>
  </si>
  <si>
    <t>Nguyễn Thu Thủy</t>
  </si>
  <si>
    <t>Lê Minh Hải</t>
  </si>
  <si>
    <t>Ngô Quốc Viện</t>
  </si>
  <si>
    <t>Trần Tr. Bình An</t>
  </si>
  <si>
    <t>Đinh Đức Tâm</t>
  </si>
  <si>
    <t>Cao Đình Tuấn</t>
  </si>
  <si>
    <t>Phạm Thị Nhị</t>
  </si>
  <si>
    <t>Trần Thị Ban Mai</t>
  </si>
  <si>
    <t>Lê Thị Kiều Oanh</t>
  </si>
  <si>
    <t>Phan Trọng Huân</t>
  </si>
  <si>
    <t>Trần Đức Diễn</t>
  </si>
  <si>
    <t>Hoàng Ngọc Lâm</t>
  </si>
  <si>
    <t>Trịnh Thị Đào</t>
  </si>
  <si>
    <t>Nguyễn Tiến Nam</t>
  </si>
  <si>
    <t>Nguyễn Hữu Trang</t>
  </si>
  <si>
    <t>Trần Đình Hải</t>
  </si>
  <si>
    <t>Cấn Mạnh Cường</t>
  </si>
  <si>
    <t>Nguyễn Xuân Hoàn</t>
  </si>
  <si>
    <t>Nguyễn Văn Nam</t>
  </si>
  <si>
    <t>Châu Văn Viện</t>
  </si>
  <si>
    <t>Nguyễn Công Chính</t>
  </si>
  <si>
    <t>Ban BV An ninh-Dân vận</t>
  </si>
  <si>
    <t>Ban Kế hoạch tổng hợp</t>
  </si>
  <si>
    <t>Quân у</t>
  </si>
  <si>
    <t>Ban Kỹ thuật</t>
  </si>
  <si>
    <t>Bộ môn Tiếng Nga</t>
  </si>
  <si>
    <t>Xí nghiệp Vật liệu quân sự</t>
  </si>
  <si>
    <t>Phòng Sinh thái - MTQS</t>
  </si>
  <si>
    <t>Phòng ĐH&amp;CBNĐ</t>
  </si>
  <si>
    <t>Phòng PT Dioxin</t>
  </si>
  <si>
    <t>Phòng PT Môi trường</t>
  </si>
  <si>
    <t>Phạm Thị Nga</t>
  </si>
  <si>
    <r>
      <rPr>
        <sz val="11"/>
        <rFont val="Times New Roman"/>
        <family val="1"/>
        <scheme val="major"/>
      </rPr>
      <t>0965.883.999</t>
    </r>
  </si>
  <si>
    <r>
      <rPr>
        <sz val="11"/>
        <rFont val="Times New Roman"/>
        <family val="1"/>
        <scheme val="major"/>
      </rPr>
      <t>0976.785.919</t>
    </r>
  </si>
  <si>
    <r>
      <rPr>
        <sz val="11"/>
        <rFont val="Times New Roman"/>
        <family val="1"/>
        <scheme val="major"/>
      </rPr>
      <t>0982.084.945</t>
    </r>
  </si>
  <si>
    <r>
      <rPr>
        <sz val="11"/>
        <rFont val="Times New Roman"/>
        <family val="1"/>
        <scheme val="major"/>
      </rPr>
      <t>0975.280.309</t>
    </r>
  </si>
  <si>
    <r>
      <rPr>
        <sz val="11"/>
        <rFont val="Times New Roman"/>
        <family val="1"/>
        <scheme val="major"/>
      </rPr>
      <t>0364.243.236</t>
    </r>
  </si>
  <si>
    <r>
      <rPr>
        <sz val="11"/>
        <rFont val="Times New Roman"/>
        <family val="1"/>
        <scheme val="major"/>
      </rPr>
      <t>0982.100.286</t>
    </r>
  </si>
  <si>
    <r>
      <rPr>
        <sz val="11"/>
        <rFont val="Times New Roman"/>
        <family val="1"/>
        <scheme val="major"/>
      </rPr>
      <t>0962.239.669</t>
    </r>
  </si>
  <si>
    <r>
      <rPr>
        <sz val="11"/>
        <rFont val="Times New Roman"/>
        <family val="1"/>
        <scheme val="major"/>
      </rPr>
      <t>0989.224.706</t>
    </r>
  </si>
  <si>
    <r>
      <rPr>
        <sz val="11"/>
        <rFont val="Times New Roman"/>
        <family val="1"/>
        <scheme val="major"/>
      </rPr>
      <t>0984.509.556</t>
    </r>
  </si>
  <si>
    <r>
      <rPr>
        <sz val="11"/>
        <rFont val="Times New Roman"/>
        <family val="1"/>
        <scheme val="major"/>
      </rPr>
      <t>0914.440.815</t>
    </r>
  </si>
  <si>
    <r>
      <rPr>
        <sz val="11"/>
        <rFont val="Times New Roman"/>
        <family val="1"/>
        <scheme val="major"/>
      </rPr>
      <t>0983.136.435</t>
    </r>
  </si>
  <si>
    <r>
      <rPr>
        <sz val="11"/>
        <rFont val="Times New Roman"/>
        <family val="1"/>
        <scheme val="major"/>
      </rPr>
      <t>0975.264.558</t>
    </r>
  </si>
  <si>
    <r>
      <rPr>
        <sz val="11"/>
        <rFont val="Times New Roman"/>
        <family val="1"/>
        <scheme val="major"/>
      </rPr>
      <t>0386.121.256</t>
    </r>
  </si>
  <si>
    <r>
      <rPr>
        <sz val="11"/>
        <rFont val="Times New Roman"/>
        <family val="1"/>
        <scheme val="major"/>
      </rPr>
      <t>0988.779.885</t>
    </r>
  </si>
  <si>
    <r>
      <rPr>
        <sz val="11"/>
        <rFont val="Times New Roman"/>
        <family val="1"/>
        <scheme val="major"/>
      </rPr>
      <t>0973.213.234</t>
    </r>
  </si>
  <si>
    <r>
      <rPr>
        <sz val="11"/>
        <rFont val="Times New Roman"/>
        <family val="1"/>
        <scheme val="major"/>
      </rPr>
      <t>0912.246.911</t>
    </r>
  </si>
  <si>
    <r>
      <rPr>
        <sz val="11"/>
        <rFont val="Times New Roman"/>
        <family val="1"/>
        <scheme val="major"/>
      </rPr>
      <t>0983.378.751</t>
    </r>
  </si>
  <si>
    <r>
      <rPr>
        <sz val="11"/>
        <rFont val="Times New Roman"/>
        <family val="1"/>
        <scheme val="major"/>
      </rPr>
      <t>0972.538.040</t>
    </r>
  </si>
  <si>
    <r>
      <rPr>
        <sz val="11"/>
        <rFont val="Times New Roman"/>
        <family val="1"/>
        <scheme val="major"/>
      </rPr>
      <t>0977.071.844</t>
    </r>
  </si>
  <si>
    <r>
      <rPr>
        <sz val="11"/>
        <rFont val="Times New Roman"/>
        <family val="1"/>
        <scheme val="major"/>
      </rPr>
      <t>0983.011.233 0868.121.979</t>
    </r>
  </si>
  <si>
    <r>
      <rPr>
        <sz val="11"/>
        <rFont val="Times New Roman"/>
        <family val="1"/>
        <scheme val="major"/>
      </rPr>
      <t>0974.152.657</t>
    </r>
  </si>
  <si>
    <r>
      <rPr>
        <sz val="11"/>
        <rFont val="Times New Roman"/>
        <family val="1"/>
        <scheme val="major"/>
      </rPr>
      <t>0982.269.812</t>
    </r>
  </si>
  <si>
    <r>
      <rPr>
        <sz val="11"/>
        <rFont val="Times New Roman"/>
        <family val="1"/>
        <scheme val="major"/>
      </rPr>
      <t>0984.789.599</t>
    </r>
  </si>
  <si>
    <r>
      <rPr>
        <sz val="11"/>
        <rFont val="Times New Roman"/>
        <family val="1"/>
        <scheme val="major"/>
      </rPr>
      <t>0977.953.416</t>
    </r>
  </si>
  <si>
    <r>
      <rPr>
        <sz val="11"/>
        <rFont val="Times New Roman"/>
        <family val="1"/>
        <scheme val="major"/>
      </rPr>
      <t>0987.671.655</t>
    </r>
  </si>
  <si>
    <r>
      <rPr>
        <sz val="11"/>
        <rFont val="Times New Roman"/>
        <family val="1"/>
        <scheme val="major"/>
      </rPr>
      <t>0972.957.307</t>
    </r>
  </si>
  <si>
    <r>
      <rPr>
        <sz val="11"/>
        <rFont val="Times New Roman"/>
        <family val="1"/>
        <scheme val="major"/>
      </rPr>
      <t>0964.511.584</t>
    </r>
  </si>
  <si>
    <r>
      <rPr>
        <sz val="11"/>
        <rFont val="Times New Roman"/>
        <family val="1"/>
        <scheme val="major"/>
      </rPr>
      <t>0968.131.397</t>
    </r>
  </si>
  <si>
    <r>
      <rPr>
        <sz val="11"/>
        <rFont val="Times New Roman"/>
        <family val="1"/>
        <scheme val="major"/>
      </rPr>
      <t>0986.889.568</t>
    </r>
  </si>
  <si>
    <r>
      <rPr>
        <sz val="11"/>
        <rFont val="Times New Roman"/>
        <family val="1"/>
        <scheme val="major"/>
      </rPr>
      <t>0903.201.551</t>
    </r>
  </si>
  <si>
    <r>
      <rPr>
        <sz val="11"/>
        <rFont val="Times New Roman"/>
        <family val="1"/>
        <scheme val="major"/>
      </rPr>
      <t>0985.888.289</t>
    </r>
  </si>
  <si>
    <r>
      <rPr>
        <sz val="11"/>
        <rFont val="Times New Roman"/>
        <family val="1"/>
        <scheme val="major"/>
      </rPr>
      <t>0988.795.688</t>
    </r>
  </si>
  <si>
    <r>
      <rPr>
        <sz val="11"/>
        <rFont val="Times New Roman"/>
        <family val="1"/>
        <scheme val="major"/>
      </rPr>
      <t>0983.406.407</t>
    </r>
  </si>
  <si>
    <r>
      <rPr>
        <sz val="11"/>
        <rFont val="Times New Roman"/>
        <family val="1"/>
        <scheme val="major"/>
      </rPr>
      <t>0985.422.488</t>
    </r>
  </si>
  <si>
    <r>
      <rPr>
        <sz val="11"/>
        <rFont val="Times New Roman"/>
        <family val="1"/>
        <scheme val="major"/>
      </rPr>
      <t>0981.911.568 0928.926.986</t>
    </r>
  </si>
  <si>
    <r>
      <rPr>
        <sz val="11"/>
        <rFont val="Times New Roman"/>
        <family val="1"/>
        <scheme val="major"/>
      </rPr>
      <t>0983.660.995</t>
    </r>
  </si>
  <si>
    <r>
      <rPr>
        <sz val="11"/>
        <rFont val="Times New Roman"/>
        <family val="1"/>
        <scheme val="major"/>
      </rPr>
      <t>0983.606.818</t>
    </r>
  </si>
  <si>
    <r>
      <rPr>
        <sz val="11"/>
        <rFont val="Times New Roman"/>
        <family val="1"/>
        <scheme val="major"/>
      </rPr>
      <t>0989.084.232</t>
    </r>
  </si>
  <si>
    <r>
      <rPr>
        <sz val="11"/>
        <rFont val="Times New Roman"/>
        <family val="1"/>
        <scheme val="major"/>
      </rPr>
      <t>0911.709.911</t>
    </r>
  </si>
  <si>
    <r>
      <rPr>
        <sz val="11"/>
        <rFont val="Times New Roman"/>
        <family val="1"/>
        <scheme val="major"/>
      </rPr>
      <t>0962.297.622</t>
    </r>
  </si>
  <si>
    <r>
      <rPr>
        <sz val="11"/>
        <rFont val="Times New Roman"/>
        <family val="1"/>
        <scheme val="major"/>
      </rPr>
      <t>0986.438.672</t>
    </r>
  </si>
  <si>
    <r>
      <rPr>
        <sz val="11"/>
        <rFont val="Times New Roman"/>
        <family val="1"/>
        <scheme val="major"/>
      </rPr>
      <t>0975.471.578</t>
    </r>
  </si>
  <si>
    <r>
      <rPr>
        <sz val="11"/>
        <rFont val="Times New Roman"/>
        <family val="1"/>
        <scheme val="major"/>
      </rPr>
      <t>0982.508.301</t>
    </r>
  </si>
  <si>
    <r>
      <rPr>
        <sz val="11"/>
        <rFont val="Times New Roman"/>
        <family val="1"/>
        <scheme val="major"/>
      </rPr>
      <t>0972.681.098</t>
    </r>
  </si>
  <si>
    <r>
      <rPr>
        <sz val="11"/>
        <rFont val="Times New Roman"/>
        <family val="1"/>
        <scheme val="major"/>
      </rPr>
      <t>0984.037.291</t>
    </r>
  </si>
  <si>
    <r>
      <rPr>
        <sz val="11"/>
        <rFont val="Times New Roman"/>
        <family val="1"/>
        <scheme val="major"/>
      </rPr>
      <t>0986.942.868</t>
    </r>
  </si>
  <si>
    <r>
      <rPr>
        <sz val="11"/>
        <rFont val="Times New Roman"/>
        <family val="1"/>
        <scheme val="major"/>
      </rPr>
      <t>0934.349.393</t>
    </r>
  </si>
  <si>
    <r>
      <rPr>
        <sz val="11"/>
        <rFont val="Times New Roman"/>
        <family val="1"/>
        <scheme val="major"/>
      </rPr>
      <t>0982.399.510</t>
    </r>
  </si>
  <si>
    <r>
      <rPr>
        <sz val="11"/>
        <rFont val="Times New Roman"/>
        <family val="1"/>
        <scheme val="major"/>
      </rPr>
      <t>0976.347.069</t>
    </r>
  </si>
  <si>
    <r>
      <rPr>
        <sz val="11"/>
        <rFont val="Times New Roman"/>
        <family val="1"/>
        <scheme val="major"/>
      </rPr>
      <t>0981.428.166</t>
    </r>
  </si>
  <si>
    <r>
      <rPr>
        <sz val="11"/>
        <rFont val="Times New Roman"/>
        <family val="1"/>
        <scheme val="major"/>
      </rPr>
      <t>0963.515.009</t>
    </r>
  </si>
  <si>
    <r>
      <rPr>
        <sz val="11"/>
        <rFont val="Times New Roman"/>
        <family val="1"/>
        <scheme val="major"/>
      </rPr>
      <t>0964.573.068</t>
    </r>
  </si>
  <si>
    <r>
      <rPr>
        <sz val="11"/>
        <rFont val="Times New Roman"/>
        <family val="1"/>
        <scheme val="major"/>
      </rPr>
      <t>0985.299.776</t>
    </r>
  </si>
  <si>
    <r>
      <rPr>
        <sz val="11"/>
        <rFont val="Times New Roman"/>
        <family val="1"/>
        <scheme val="major"/>
      </rPr>
      <t>0962.715.556</t>
    </r>
  </si>
  <si>
    <r>
      <rPr>
        <sz val="11"/>
        <rFont val="Times New Roman"/>
        <family val="1"/>
        <scheme val="major"/>
      </rPr>
      <t>0388.108.780</t>
    </r>
  </si>
  <si>
    <r>
      <rPr>
        <sz val="11"/>
        <rFont val="Times New Roman"/>
        <family val="1"/>
        <scheme val="major"/>
      </rPr>
      <t>0982.010.805</t>
    </r>
  </si>
  <si>
    <r>
      <rPr>
        <sz val="11"/>
        <rFont val="Times New Roman"/>
        <family val="1"/>
        <scheme val="major"/>
      </rPr>
      <t>0969.679.791</t>
    </r>
  </si>
  <si>
    <r>
      <rPr>
        <sz val="11"/>
        <rFont val="Times New Roman"/>
        <family val="1"/>
        <scheme val="major"/>
      </rPr>
      <t>0904.505.828</t>
    </r>
  </si>
  <si>
    <r>
      <rPr>
        <sz val="11"/>
        <rFont val="Times New Roman"/>
        <family val="1"/>
        <scheme val="major"/>
      </rPr>
      <t>0978.066.960</t>
    </r>
  </si>
  <si>
    <r>
      <rPr>
        <sz val="11"/>
        <rFont val="Times New Roman"/>
        <family val="1"/>
        <scheme val="major"/>
      </rPr>
      <t>0974.526.565</t>
    </r>
  </si>
  <si>
    <r>
      <rPr>
        <sz val="11"/>
        <rFont val="Times New Roman"/>
        <family val="1"/>
        <scheme val="major"/>
      </rPr>
      <t>0989.581.379</t>
    </r>
  </si>
  <si>
    <r>
      <rPr>
        <sz val="11"/>
        <rFont val="Times New Roman"/>
        <family val="1"/>
        <scheme val="major"/>
      </rPr>
      <t>0363.782.683</t>
    </r>
  </si>
  <si>
    <r>
      <rPr>
        <sz val="11"/>
        <rFont val="Times New Roman"/>
        <family val="1"/>
        <scheme val="major"/>
      </rPr>
      <t>0972.470.396</t>
    </r>
  </si>
  <si>
    <r>
      <rPr>
        <sz val="11"/>
        <rFont val="Times New Roman"/>
        <family val="1"/>
        <scheme val="major"/>
      </rPr>
      <t>0988.779.838</t>
    </r>
  </si>
  <si>
    <r>
      <rPr>
        <sz val="11"/>
        <rFont val="Times New Roman"/>
        <family val="1"/>
        <scheme val="major"/>
      </rPr>
      <t>0385.482.628</t>
    </r>
  </si>
  <si>
    <r>
      <rPr>
        <sz val="11"/>
        <rFont val="Times New Roman"/>
        <family val="1"/>
        <scheme val="major"/>
      </rPr>
      <t>0986.223.268</t>
    </r>
  </si>
  <si>
    <r>
      <rPr>
        <sz val="11"/>
        <rFont val="Times New Roman"/>
        <family val="1"/>
        <scheme val="major"/>
      </rPr>
      <t>0986.823.237</t>
    </r>
  </si>
  <si>
    <r>
      <rPr>
        <sz val="11"/>
        <rFont val="Times New Roman"/>
        <family val="1"/>
        <scheme val="major"/>
      </rPr>
      <t>0983.275.938</t>
    </r>
  </si>
  <si>
    <r>
      <rPr>
        <sz val="11"/>
        <rFont val="Times New Roman"/>
        <family val="1"/>
        <scheme val="major"/>
      </rPr>
      <t>0973.243.796</t>
    </r>
  </si>
  <si>
    <r>
      <rPr>
        <sz val="11"/>
        <rFont val="Times New Roman"/>
        <family val="1"/>
        <scheme val="major"/>
      </rPr>
      <t>0888.984.886</t>
    </r>
  </si>
  <si>
    <r>
      <rPr>
        <sz val="11"/>
        <rFont val="Times New Roman"/>
        <family val="1"/>
        <scheme val="major"/>
      </rPr>
      <t>0904.353.368</t>
    </r>
  </si>
  <si>
    <r>
      <rPr>
        <sz val="11"/>
        <rFont val="Times New Roman"/>
        <family val="1"/>
        <scheme val="major"/>
      </rPr>
      <t>0983.198.907</t>
    </r>
  </si>
  <si>
    <r>
      <rPr>
        <sz val="11"/>
        <rFont val="Times New Roman"/>
        <family val="1"/>
        <scheme val="major"/>
      </rPr>
      <t>0988.088.989</t>
    </r>
  </si>
  <si>
    <r>
      <rPr>
        <sz val="11"/>
        <rFont val="Times New Roman"/>
        <family val="1"/>
        <scheme val="major"/>
      </rPr>
      <t>0328.146.678</t>
    </r>
  </si>
  <si>
    <r>
      <rPr>
        <sz val="11"/>
        <rFont val="Times New Roman"/>
        <family val="1"/>
        <scheme val="major"/>
      </rPr>
      <t>0982.762.202 0962.112.866</t>
    </r>
  </si>
  <si>
    <r>
      <rPr>
        <sz val="11"/>
        <rFont val="Times New Roman"/>
        <family val="1"/>
        <scheme val="major"/>
      </rPr>
      <t>0397.147.030</t>
    </r>
  </si>
  <si>
    <r>
      <rPr>
        <sz val="11"/>
        <rFont val="Times New Roman"/>
        <family val="1"/>
        <scheme val="major"/>
      </rPr>
      <t>0947.947.625 0398.632.626</t>
    </r>
  </si>
  <si>
    <r>
      <rPr>
        <sz val="11"/>
        <rFont val="Times New Roman"/>
        <family val="1"/>
        <scheme val="major"/>
      </rPr>
      <t>0394.422.977</t>
    </r>
  </si>
  <si>
    <r>
      <rPr>
        <sz val="11"/>
        <rFont val="Times New Roman"/>
        <family val="1"/>
        <scheme val="major"/>
      </rPr>
      <t>0982.437.997</t>
    </r>
  </si>
  <si>
    <r>
      <rPr>
        <sz val="11"/>
        <rFont val="Times New Roman"/>
        <family val="1"/>
        <scheme val="major"/>
      </rPr>
      <t>0989.061.755</t>
    </r>
  </si>
  <si>
    <r>
      <rPr>
        <sz val="11"/>
        <rFont val="Times New Roman"/>
        <family val="1"/>
        <scheme val="major"/>
      </rPr>
      <t>0913.500.913</t>
    </r>
  </si>
  <si>
    <r>
      <rPr>
        <sz val="11"/>
        <rFont val="Times New Roman"/>
        <family val="1"/>
        <scheme val="major"/>
      </rPr>
      <t>0989.592.838</t>
    </r>
  </si>
  <si>
    <r>
      <rPr>
        <sz val="11"/>
        <rFont val="Times New Roman"/>
        <family val="1"/>
        <scheme val="major"/>
      </rPr>
      <t>0984.372.729</t>
    </r>
  </si>
  <si>
    <r>
      <rPr>
        <sz val="11"/>
        <rFont val="Times New Roman"/>
        <family val="1"/>
        <scheme val="major"/>
      </rPr>
      <t>0983.010.145</t>
    </r>
  </si>
  <si>
    <r>
      <rPr>
        <sz val="11"/>
        <rFont val="Times New Roman"/>
        <family val="1"/>
        <scheme val="major"/>
      </rPr>
      <t>0346.112.009</t>
    </r>
  </si>
  <si>
    <r>
      <rPr>
        <sz val="11"/>
        <rFont val="Times New Roman"/>
        <family val="1"/>
        <scheme val="major"/>
      </rPr>
      <t>0969.652.968</t>
    </r>
  </si>
  <si>
    <r>
      <rPr>
        <sz val="11"/>
        <rFont val="Times New Roman"/>
        <family val="1"/>
        <scheme val="major"/>
      </rPr>
      <t>0965.841.638</t>
    </r>
  </si>
  <si>
    <r>
      <rPr>
        <sz val="11"/>
        <rFont val="Times New Roman"/>
        <family val="1"/>
        <scheme val="major"/>
      </rPr>
      <t>0986.610.747</t>
    </r>
  </si>
  <si>
    <r>
      <rPr>
        <sz val="11"/>
        <rFont val="Times New Roman"/>
        <family val="1"/>
        <scheme val="major"/>
      </rPr>
      <t>0868.299.955</t>
    </r>
  </si>
  <si>
    <r>
      <rPr>
        <sz val="11"/>
        <rFont val="Times New Roman"/>
        <family val="1"/>
        <scheme val="major"/>
      </rPr>
      <t>0988.921.627</t>
    </r>
  </si>
  <si>
    <r>
      <rPr>
        <sz val="11"/>
        <rFont val="Times New Roman"/>
        <family val="1"/>
        <scheme val="major"/>
      </rPr>
      <t>0936.490.986</t>
    </r>
  </si>
  <si>
    <r>
      <rPr>
        <sz val="11"/>
        <rFont val="Times New Roman"/>
        <family val="1"/>
        <scheme val="major"/>
      </rPr>
      <t>0383.211.767</t>
    </r>
  </si>
  <si>
    <r>
      <rPr>
        <sz val="11"/>
        <rFont val="Times New Roman"/>
        <family val="1"/>
        <scheme val="major"/>
      </rPr>
      <t>0966.898.702</t>
    </r>
  </si>
  <si>
    <r>
      <rPr>
        <sz val="11"/>
        <rFont val="Times New Roman"/>
        <family val="1"/>
        <scheme val="major"/>
      </rPr>
      <t>0962.451.816</t>
    </r>
  </si>
  <si>
    <r>
      <rPr>
        <sz val="11"/>
        <rFont val="Times New Roman"/>
        <family val="1"/>
        <scheme val="major"/>
      </rPr>
      <t>0364.903.987</t>
    </r>
  </si>
  <si>
    <r>
      <rPr>
        <sz val="11"/>
        <rFont val="Times New Roman"/>
        <family val="1"/>
        <scheme val="major"/>
      </rPr>
      <t>0912.015.187</t>
    </r>
  </si>
  <si>
    <r>
      <rPr>
        <sz val="11"/>
        <rFont val="Times New Roman"/>
        <family val="1"/>
        <scheme val="major"/>
      </rPr>
      <t>0983.871.986</t>
    </r>
  </si>
  <si>
    <r>
      <rPr>
        <sz val="11"/>
        <rFont val="Times New Roman"/>
        <family val="1"/>
        <scheme val="major"/>
      </rPr>
      <t>0988.100.690</t>
    </r>
  </si>
  <si>
    <r>
      <rPr>
        <sz val="11"/>
        <rFont val="Times New Roman"/>
        <family val="1"/>
        <scheme val="major"/>
      </rPr>
      <t>0987.607.874</t>
    </r>
  </si>
  <si>
    <r>
      <rPr>
        <sz val="11"/>
        <rFont val="Times New Roman"/>
        <family val="1"/>
        <scheme val="major"/>
      </rPr>
      <t>0986.609.588</t>
    </r>
  </si>
  <si>
    <r>
      <rPr>
        <sz val="11"/>
        <rFont val="Times New Roman"/>
        <family val="1"/>
        <scheme val="major"/>
      </rPr>
      <t>0983.195.178</t>
    </r>
  </si>
  <si>
    <r>
      <rPr>
        <sz val="11"/>
        <rFont val="Times New Roman"/>
        <family val="1"/>
        <scheme val="major"/>
      </rPr>
      <t>0969.188.116</t>
    </r>
  </si>
  <si>
    <r>
      <rPr>
        <sz val="11"/>
        <rFont val="Times New Roman"/>
        <family val="1"/>
        <scheme val="major"/>
      </rPr>
      <t>0389.865.762</t>
    </r>
  </si>
  <si>
    <r>
      <rPr>
        <sz val="11"/>
        <rFont val="Times New Roman"/>
        <family val="1"/>
        <scheme val="major"/>
      </rPr>
      <t>0985.982.191</t>
    </r>
  </si>
  <si>
    <r>
      <rPr>
        <sz val="11"/>
        <rFont val="Times New Roman"/>
        <family val="1"/>
        <scheme val="major"/>
      </rPr>
      <t>0987.345.812</t>
    </r>
  </si>
  <si>
    <r>
      <rPr>
        <sz val="11"/>
        <rFont val="Times New Roman"/>
        <family val="1"/>
        <scheme val="major"/>
      </rPr>
      <t>0983.668.845</t>
    </r>
  </si>
  <si>
    <r>
      <rPr>
        <sz val="11"/>
        <rFont val="Times New Roman"/>
        <family val="1"/>
        <scheme val="major"/>
      </rPr>
      <t>0987.887.373</t>
    </r>
  </si>
  <si>
    <r>
      <rPr>
        <sz val="11"/>
        <rFont val="Times New Roman"/>
        <family val="1"/>
        <scheme val="major"/>
      </rPr>
      <t>0982.646.622</t>
    </r>
  </si>
  <si>
    <r>
      <rPr>
        <sz val="11"/>
        <rFont val="Times New Roman"/>
        <family val="1"/>
        <scheme val="major"/>
      </rPr>
      <t>0943.348.008</t>
    </r>
  </si>
  <si>
    <r>
      <rPr>
        <sz val="11"/>
        <rFont val="Times New Roman"/>
        <family val="1"/>
        <scheme val="major"/>
      </rPr>
      <t>0988.206.787</t>
    </r>
  </si>
  <si>
    <r>
      <rPr>
        <sz val="11"/>
        <rFont val="Times New Roman"/>
        <family val="1"/>
        <scheme val="major"/>
      </rPr>
      <t>0961.377.111</t>
    </r>
  </si>
  <si>
    <r>
      <rPr>
        <sz val="11"/>
        <rFont val="Times New Roman"/>
        <family val="1"/>
        <scheme val="major"/>
      </rPr>
      <t>0985.021.201</t>
    </r>
  </si>
  <si>
    <r>
      <rPr>
        <sz val="11"/>
        <rFont val="Times New Roman"/>
        <family val="1"/>
        <scheme val="major"/>
      </rPr>
      <t>0978.079.980</t>
    </r>
  </si>
  <si>
    <r>
      <rPr>
        <sz val="11"/>
        <rFont val="Times New Roman"/>
        <family val="1"/>
        <scheme val="major"/>
      </rPr>
      <t>0987.206.797</t>
    </r>
  </si>
  <si>
    <r>
      <rPr>
        <sz val="11"/>
        <rFont val="Times New Roman"/>
        <family val="1"/>
        <scheme val="major"/>
      </rPr>
      <t>0988.705.996</t>
    </r>
  </si>
  <si>
    <r>
      <rPr>
        <sz val="11"/>
        <rFont val="Times New Roman"/>
        <family val="1"/>
        <scheme val="major"/>
      </rPr>
      <t>0981.552.250</t>
    </r>
  </si>
  <si>
    <r>
      <rPr>
        <sz val="11"/>
        <rFont val="Times New Roman"/>
        <family val="1"/>
        <scheme val="major"/>
      </rPr>
      <t>0975.759.865</t>
    </r>
  </si>
  <si>
    <r>
      <rPr>
        <sz val="11"/>
        <rFont val="Times New Roman"/>
        <family val="1"/>
        <scheme val="major"/>
      </rPr>
      <t>0987.106.796</t>
    </r>
  </si>
  <si>
    <r>
      <rPr>
        <sz val="11"/>
        <rFont val="Times New Roman"/>
        <family val="1"/>
        <scheme val="major"/>
      </rPr>
      <t>0984.416.682</t>
    </r>
  </si>
  <si>
    <r>
      <rPr>
        <sz val="11"/>
        <rFont val="Times New Roman"/>
        <family val="1"/>
        <scheme val="major"/>
      </rPr>
      <t>0349.025.789</t>
    </r>
  </si>
  <si>
    <r>
      <rPr>
        <sz val="11"/>
        <rFont val="Times New Roman"/>
        <family val="1"/>
        <scheme val="major"/>
      </rPr>
      <t>0975.133.889</t>
    </r>
  </si>
  <si>
    <r>
      <rPr>
        <sz val="11"/>
        <rFont val="Times New Roman"/>
        <family val="1"/>
        <scheme val="major"/>
      </rPr>
      <t>0986.886.566</t>
    </r>
  </si>
  <si>
    <r>
      <rPr>
        <sz val="11"/>
        <rFont val="Times New Roman"/>
        <family val="1"/>
        <scheme val="major"/>
      </rPr>
      <t>0968.497.174</t>
    </r>
  </si>
  <si>
    <r>
      <rPr>
        <sz val="11"/>
        <rFont val="Times New Roman"/>
        <family val="1"/>
        <scheme val="major"/>
      </rPr>
      <t>0982.200.880</t>
    </r>
  </si>
  <si>
    <r>
      <rPr>
        <sz val="11"/>
        <rFont val="Times New Roman"/>
        <family val="1"/>
        <scheme val="major"/>
      </rPr>
      <t>0914.303.161 0981.585.484</t>
    </r>
  </si>
  <si>
    <r>
      <rPr>
        <sz val="11"/>
        <rFont val="Times New Roman"/>
        <family val="1"/>
        <scheme val="major"/>
      </rPr>
      <t>0963.618.687</t>
    </r>
  </si>
  <si>
    <r>
      <rPr>
        <sz val="11"/>
        <rFont val="Times New Roman"/>
        <family val="1"/>
        <scheme val="major"/>
      </rPr>
      <t>0984.684.989</t>
    </r>
  </si>
  <si>
    <r>
      <rPr>
        <sz val="11"/>
        <rFont val="Times New Roman"/>
        <family val="1"/>
        <scheme val="major"/>
      </rPr>
      <t>0989.060.004</t>
    </r>
  </si>
  <si>
    <r>
      <rPr>
        <sz val="11"/>
        <rFont val="Times New Roman"/>
        <family val="1"/>
        <scheme val="major"/>
      </rPr>
      <t>0988.155.589</t>
    </r>
  </si>
  <si>
    <r>
      <rPr>
        <sz val="11"/>
        <rFont val="Times New Roman"/>
        <family val="1"/>
        <scheme val="major"/>
      </rPr>
      <t>0966.639.415</t>
    </r>
  </si>
  <si>
    <r>
      <rPr>
        <sz val="11"/>
        <rFont val="Times New Roman"/>
        <family val="1"/>
        <scheme val="major"/>
      </rPr>
      <t>0824.018.989</t>
    </r>
  </si>
  <si>
    <r>
      <rPr>
        <sz val="11"/>
        <rFont val="Times New Roman"/>
        <family val="1"/>
        <scheme val="major"/>
      </rPr>
      <t>0933.308.468</t>
    </r>
  </si>
  <si>
    <r>
      <rPr>
        <sz val="11"/>
        <rFont val="Times New Roman"/>
        <family val="1"/>
        <scheme val="major"/>
      </rPr>
      <t>0962.333.335</t>
    </r>
  </si>
  <si>
    <r>
      <rPr>
        <sz val="11"/>
        <rFont val="Times New Roman"/>
        <family val="1"/>
        <scheme val="major"/>
      </rPr>
      <t>0968.441.625</t>
    </r>
  </si>
  <si>
    <r>
      <rPr>
        <sz val="11"/>
        <rFont val="Times New Roman"/>
        <family val="1"/>
        <scheme val="major"/>
      </rPr>
      <t>0966.851.568</t>
    </r>
  </si>
  <si>
    <r>
      <rPr>
        <sz val="11"/>
        <rFont val="Times New Roman"/>
        <family val="1"/>
        <scheme val="major"/>
      </rPr>
      <t>0394.837.473</t>
    </r>
  </si>
  <si>
    <r>
      <rPr>
        <sz val="11"/>
        <rFont val="Times New Roman"/>
        <family val="1"/>
        <scheme val="major"/>
      </rPr>
      <t>0965.175.627</t>
    </r>
  </si>
  <si>
    <r>
      <rPr>
        <sz val="11"/>
        <rFont val="Times New Roman"/>
        <family val="1"/>
        <scheme val="major"/>
      </rPr>
      <t>0389.559.425</t>
    </r>
  </si>
  <si>
    <r>
      <rPr>
        <sz val="11"/>
        <rFont val="Times New Roman"/>
        <family val="1"/>
        <scheme val="major"/>
      </rPr>
      <t>0982.616.136</t>
    </r>
  </si>
  <si>
    <r>
      <rPr>
        <sz val="11"/>
        <rFont val="Times New Roman"/>
        <family val="1"/>
        <scheme val="major"/>
      </rPr>
      <t>0354.602.969</t>
    </r>
  </si>
  <si>
    <r>
      <rPr>
        <sz val="11"/>
        <rFont val="Times New Roman"/>
        <family val="1"/>
        <scheme val="major"/>
      </rPr>
      <t>0353.568.640</t>
    </r>
  </si>
  <si>
    <r>
      <rPr>
        <sz val="11"/>
        <rFont val="Times New Roman"/>
        <family val="1"/>
        <scheme val="major"/>
      </rPr>
      <t>0988.779.256</t>
    </r>
  </si>
  <si>
    <r>
      <rPr>
        <sz val="11"/>
        <rFont val="Times New Roman"/>
        <family val="1"/>
        <scheme val="major"/>
      </rPr>
      <t>0983.710.798</t>
    </r>
  </si>
  <si>
    <r>
      <rPr>
        <sz val="11"/>
        <rFont val="Times New Roman"/>
        <family val="1"/>
        <scheme val="major"/>
      </rPr>
      <t>0989.787.918</t>
    </r>
  </si>
  <si>
    <r>
      <rPr>
        <sz val="11"/>
        <rFont val="Times New Roman"/>
        <family val="1"/>
        <scheme val="major"/>
      </rPr>
      <t>0988.779.866</t>
    </r>
  </si>
  <si>
    <r>
      <rPr>
        <sz val="11"/>
        <rFont val="Times New Roman"/>
        <family val="1"/>
        <scheme val="major"/>
      </rPr>
      <t>0988.820.086</t>
    </r>
  </si>
  <si>
    <r>
      <rPr>
        <sz val="11"/>
        <rFont val="Times New Roman"/>
        <family val="1"/>
        <scheme val="major"/>
      </rPr>
      <t>0976.808.707</t>
    </r>
  </si>
  <si>
    <r>
      <rPr>
        <sz val="11"/>
        <rFont val="Times New Roman"/>
        <family val="1"/>
        <scheme val="major"/>
      </rPr>
      <t>0981.404.787</t>
    </r>
  </si>
  <si>
    <r>
      <rPr>
        <sz val="11"/>
        <rFont val="Times New Roman"/>
        <family val="1"/>
        <scheme val="major"/>
      </rPr>
      <t>0865.341.611</t>
    </r>
  </si>
  <si>
    <r>
      <rPr>
        <sz val="11"/>
        <rFont val="Times New Roman"/>
        <family val="1"/>
        <scheme val="major"/>
      </rPr>
      <t>0358.945.500</t>
    </r>
  </si>
  <si>
    <r>
      <rPr>
        <sz val="11"/>
        <rFont val="Times New Roman"/>
        <family val="1"/>
        <scheme val="major"/>
      </rPr>
      <t>0979.092.962</t>
    </r>
  </si>
  <si>
    <r>
      <rPr>
        <sz val="11"/>
        <rFont val="Times New Roman"/>
        <family val="1"/>
        <scheme val="major"/>
      </rPr>
      <t>0966.080.886</t>
    </r>
  </si>
  <si>
    <r>
      <rPr>
        <sz val="11"/>
        <rFont val="Times New Roman"/>
        <family val="1"/>
        <scheme val="major"/>
      </rPr>
      <t>0912.537.813</t>
    </r>
  </si>
  <si>
    <r>
      <rPr>
        <sz val="11"/>
        <rFont val="Times New Roman"/>
        <family val="1"/>
        <scheme val="major"/>
      </rPr>
      <t>0972.684.222</t>
    </r>
  </si>
  <si>
    <r>
      <rPr>
        <sz val="11"/>
        <rFont val="Times New Roman"/>
        <family val="1"/>
        <scheme val="major"/>
      </rPr>
      <t>0356.101.464</t>
    </r>
  </si>
  <si>
    <r>
      <rPr>
        <sz val="11"/>
        <rFont val="Times New Roman"/>
        <family val="1"/>
        <scheme val="major"/>
      </rPr>
      <t>0974.545.886</t>
    </r>
  </si>
  <si>
    <r>
      <rPr>
        <sz val="11"/>
        <rFont val="Times New Roman"/>
        <family val="1"/>
        <scheme val="major"/>
      </rPr>
      <t>0975.729.888</t>
    </r>
  </si>
  <si>
    <r>
      <rPr>
        <sz val="11"/>
        <rFont val="Times New Roman"/>
        <family val="1"/>
        <scheme val="major"/>
      </rPr>
      <t>0868.470.007</t>
    </r>
  </si>
  <si>
    <r>
      <rPr>
        <sz val="11"/>
        <rFont val="Times New Roman"/>
        <family val="1"/>
        <scheme val="major"/>
      </rPr>
      <t>0989.253.563</t>
    </r>
  </si>
  <si>
    <r>
      <rPr>
        <sz val="11"/>
        <rFont val="Times New Roman"/>
        <family val="1"/>
        <scheme val="major"/>
      </rPr>
      <t>0963.369.700</t>
    </r>
  </si>
  <si>
    <r>
      <rPr>
        <sz val="11"/>
        <rFont val="Times New Roman"/>
        <family val="1"/>
        <scheme val="major"/>
      </rPr>
      <t>0973.726.606</t>
    </r>
  </si>
  <si>
    <r>
      <rPr>
        <sz val="11"/>
        <rFont val="Times New Roman"/>
        <family val="1"/>
        <scheme val="major"/>
      </rPr>
      <t>0962.882.861</t>
    </r>
  </si>
  <si>
    <r>
      <rPr>
        <sz val="11"/>
        <rFont val="Times New Roman"/>
        <family val="1"/>
        <scheme val="major"/>
      </rPr>
      <t>0987.314.288</t>
    </r>
  </si>
  <si>
    <r>
      <rPr>
        <sz val="11"/>
        <rFont val="Times New Roman"/>
        <family val="1"/>
        <scheme val="major"/>
      </rPr>
      <t>0984.725.361</t>
    </r>
  </si>
  <si>
    <r>
      <rPr>
        <sz val="11"/>
        <rFont val="Times New Roman"/>
        <family val="1"/>
        <scheme val="major"/>
      </rPr>
      <t>0988.944.458</t>
    </r>
  </si>
  <si>
    <r>
      <rPr>
        <sz val="11"/>
        <rFont val="Times New Roman"/>
        <family val="1"/>
        <scheme val="major"/>
      </rPr>
      <t>0934.440.066</t>
    </r>
  </si>
  <si>
    <r>
      <rPr>
        <sz val="11"/>
        <rFont val="Times New Roman"/>
        <family val="1"/>
        <scheme val="major"/>
      </rPr>
      <t>0387.993.828</t>
    </r>
  </si>
  <si>
    <r>
      <rPr>
        <sz val="11"/>
        <rFont val="Times New Roman"/>
        <family val="1"/>
        <scheme val="major"/>
      </rPr>
      <t>0987.102.991</t>
    </r>
  </si>
  <si>
    <r>
      <rPr>
        <sz val="11"/>
        <rFont val="Times New Roman"/>
        <family val="1"/>
        <scheme val="major"/>
      </rPr>
      <t>0987.983.868 _</t>
    </r>
  </si>
  <si>
    <r>
      <rPr>
        <sz val="11"/>
        <rFont val="Times New Roman"/>
        <family val="1"/>
        <scheme val="major"/>
      </rPr>
      <t>0394.573.639</t>
    </r>
  </si>
  <si>
    <r>
      <rPr>
        <sz val="11"/>
        <rFont val="Times New Roman"/>
        <family val="1"/>
        <scheme val="major"/>
      </rPr>
      <t>0982.726.792</t>
    </r>
  </si>
  <si>
    <r>
      <rPr>
        <sz val="11"/>
        <rFont val="Times New Roman"/>
        <family val="1"/>
        <scheme val="major"/>
      </rPr>
      <t>0989.779.857</t>
    </r>
  </si>
  <si>
    <r>
      <rPr>
        <sz val="11"/>
        <rFont val="Times New Roman"/>
        <family val="1"/>
        <scheme val="major"/>
      </rPr>
      <t>0976.615.848</t>
    </r>
  </si>
  <si>
    <r>
      <rPr>
        <sz val="11"/>
        <rFont val="Times New Roman"/>
        <family val="1"/>
        <scheme val="major"/>
      </rPr>
      <t>0374.666.961</t>
    </r>
  </si>
  <si>
    <r>
      <rPr>
        <sz val="11"/>
        <rFont val="Times New Roman"/>
        <family val="1"/>
        <scheme val="major"/>
      </rPr>
      <t>0988.779.887</t>
    </r>
  </si>
  <si>
    <r>
      <rPr>
        <sz val="11"/>
        <rFont val="Times New Roman"/>
        <family val="1"/>
        <scheme val="major"/>
      </rPr>
      <t>0987.827.320</t>
    </r>
  </si>
  <si>
    <r>
      <rPr>
        <sz val="11"/>
        <rFont val="Times New Roman"/>
        <family val="1"/>
        <scheme val="major"/>
      </rPr>
      <t>0396.296.917</t>
    </r>
  </si>
  <si>
    <r>
      <rPr>
        <sz val="11"/>
        <rFont val="Times New Roman"/>
        <family val="1"/>
        <scheme val="major"/>
      </rPr>
      <t>0988.779.806</t>
    </r>
  </si>
  <si>
    <r>
      <rPr>
        <sz val="11"/>
        <rFont val="Times New Roman"/>
        <family val="1"/>
        <scheme val="major"/>
      </rPr>
      <t>0833.222.286</t>
    </r>
  </si>
  <si>
    <r>
      <rPr>
        <sz val="11"/>
        <rFont val="Times New Roman"/>
        <family val="1"/>
        <scheme val="major"/>
      </rPr>
      <t>0346.378.888</t>
    </r>
  </si>
  <si>
    <r>
      <rPr>
        <sz val="11"/>
        <rFont val="Times New Roman"/>
        <family val="1"/>
        <scheme val="major"/>
      </rPr>
      <t>0969.010.019</t>
    </r>
  </si>
  <si>
    <r>
      <rPr>
        <sz val="11"/>
        <rFont val="Times New Roman"/>
        <family val="1"/>
        <scheme val="major"/>
      </rPr>
      <t>0988.297.519</t>
    </r>
  </si>
  <si>
    <r>
      <rPr>
        <sz val="11"/>
        <rFont val="Times New Roman"/>
        <family val="1"/>
        <scheme val="major"/>
      </rPr>
      <t>0904.002.005</t>
    </r>
  </si>
  <si>
    <r>
      <rPr>
        <sz val="11"/>
        <rFont val="Times New Roman"/>
        <family val="1"/>
        <scheme val="major"/>
      </rPr>
      <t>0977.905.538</t>
    </r>
  </si>
  <si>
    <r>
      <rPr>
        <sz val="11"/>
        <rFont val="Times New Roman"/>
        <family val="1"/>
        <scheme val="major"/>
      </rPr>
      <t>0988.288.483</t>
    </r>
  </si>
  <si>
    <r>
      <rPr>
        <sz val="11"/>
        <rFont val="Times New Roman"/>
        <family val="1"/>
        <scheme val="major"/>
      </rPr>
      <t>0976.501.919</t>
    </r>
  </si>
  <si>
    <r>
      <rPr>
        <sz val="11"/>
        <rFont val="Times New Roman"/>
        <family val="1"/>
        <scheme val="major"/>
      </rPr>
      <t>0977.866.230</t>
    </r>
  </si>
  <si>
    <r>
      <rPr>
        <sz val="11"/>
        <rFont val="Times New Roman"/>
        <family val="1"/>
        <scheme val="major"/>
      </rPr>
      <t>0912.049.887</t>
    </r>
  </si>
  <si>
    <r>
      <rPr>
        <sz val="11"/>
        <rFont val="Times New Roman"/>
        <family val="1"/>
        <scheme val="major"/>
      </rPr>
      <t>0989.646.965</t>
    </r>
  </si>
  <si>
    <r>
      <rPr>
        <sz val="11"/>
        <rFont val="Times New Roman"/>
        <family val="1"/>
        <scheme val="major"/>
      </rPr>
      <t>0982.203.773</t>
    </r>
  </si>
  <si>
    <r>
      <rPr>
        <sz val="11"/>
        <rFont val="Times New Roman"/>
        <family val="1"/>
        <scheme val="major"/>
      </rPr>
      <t>0989.992.003</t>
    </r>
  </si>
  <si>
    <r>
      <rPr>
        <sz val="11"/>
        <rFont val="Times New Roman"/>
        <family val="1"/>
        <scheme val="major"/>
      </rPr>
      <t>0974.025.686</t>
    </r>
  </si>
  <si>
    <r>
      <rPr>
        <sz val="11"/>
        <rFont val="Times New Roman"/>
        <family val="1"/>
        <scheme val="major"/>
      </rPr>
      <t>0904.332.718</t>
    </r>
  </si>
  <si>
    <r>
      <rPr>
        <sz val="11"/>
        <rFont val="Times New Roman"/>
        <family val="1"/>
        <scheme val="major"/>
      </rPr>
      <t>0974.283.982</t>
    </r>
  </si>
  <si>
    <r>
      <rPr>
        <sz val="11"/>
        <rFont val="Times New Roman"/>
        <family val="1"/>
        <scheme val="major"/>
      </rPr>
      <t>0913.577.522 0393.967.337</t>
    </r>
  </si>
  <si>
    <r>
      <rPr>
        <sz val="11"/>
        <rFont val="Times New Roman"/>
        <family val="1"/>
        <scheme val="major"/>
      </rPr>
      <t>0363.118.143</t>
    </r>
  </si>
  <si>
    <r>
      <rPr>
        <sz val="11"/>
        <rFont val="Times New Roman"/>
        <family val="1"/>
        <scheme val="major"/>
      </rPr>
      <t>0398.646.267</t>
    </r>
  </si>
  <si>
    <r>
      <rPr>
        <sz val="11"/>
        <rFont val="Times New Roman"/>
        <family val="1"/>
        <scheme val="major"/>
      </rPr>
      <t>0987.007.555</t>
    </r>
  </si>
  <si>
    <r>
      <rPr>
        <sz val="11"/>
        <rFont val="Times New Roman"/>
        <family val="1"/>
        <scheme val="major"/>
      </rPr>
      <t>0913322.585</t>
    </r>
  </si>
  <si>
    <r>
      <rPr>
        <sz val="11"/>
        <rFont val="Times New Roman"/>
        <family val="1"/>
        <scheme val="major"/>
      </rPr>
      <t>0962.091.581</t>
    </r>
  </si>
  <si>
    <r>
      <rPr>
        <sz val="11"/>
        <rFont val="Times New Roman"/>
        <family val="1"/>
        <scheme val="major"/>
      </rPr>
      <t>0973.567.983</t>
    </r>
  </si>
  <si>
    <r>
      <rPr>
        <sz val="11"/>
        <rFont val="Times New Roman"/>
        <family val="1"/>
        <scheme val="major"/>
      </rPr>
      <t>0973.514.742</t>
    </r>
  </si>
  <si>
    <r>
      <rPr>
        <sz val="11"/>
        <rFont val="Times New Roman"/>
        <family val="1"/>
        <scheme val="major"/>
      </rPr>
      <t>0989.106.174</t>
    </r>
  </si>
  <si>
    <r>
      <rPr>
        <sz val="11"/>
        <rFont val="Times New Roman"/>
        <family val="1"/>
        <scheme val="major"/>
      </rPr>
      <t>0973.889.207</t>
    </r>
  </si>
  <si>
    <r>
      <rPr>
        <sz val="11"/>
        <rFont val="Times New Roman"/>
        <family val="1"/>
        <scheme val="major"/>
      </rPr>
      <t>0912.206.942</t>
    </r>
  </si>
  <si>
    <r>
      <rPr>
        <sz val="11"/>
        <rFont val="Times New Roman"/>
        <family val="1"/>
        <scheme val="major"/>
      </rPr>
      <t>0982.020.318</t>
    </r>
  </si>
  <si>
    <r>
      <rPr>
        <sz val="11"/>
        <rFont val="Times New Roman"/>
        <family val="1"/>
        <scheme val="major"/>
      </rPr>
      <t>0982.201.991</t>
    </r>
  </si>
  <si>
    <r>
      <rPr>
        <sz val="11"/>
        <rFont val="Times New Roman"/>
        <family val="1"/>
        <scheme val="major"/>
      </rPr>
      <t>0981.791.148</t>
    </r>
  </si>
  <si>
    <r>
      <rPr>
        <sz val="11"/>
        <rFont val="Times New Roman"/>
        <family val="1"/>
        <scheme val="major"/>
      </rPr>
      <t>0982.551.184</t>
    </r>
  </si>
  <si>
    <r>
      <rPr>
        <sz val="11"/>
        <rFont val="Times New Roman"/>
        <family val="1"/>
        <scheme val="major"/>
      </rPr>
      <t>0941.217.285</t>
    </r>
  </si>
  <si>
    <r>
      <rPr>
        <sz val="11"/>
        <rFont val="Times New Roman"/>
        <family val="1"/>
        <scheme val="major"/>
      </rPr>
      <t>0973.606.639</t>
    </r>
  </si>
  <si>
    <r>
      <rPr>
        <sz val="11"/>
        <rFont val="Times New Roman"/>
        <family val="1"/>
        <scheme val="major"/>
      </rPr>
      <t>0813.262.933</t>
    </r>
  </si>
  <si>
    <r>
      <rPr>
        <sz val="11"/>
        <rFont val="Times New Roman"/>
        <family val="1"/>
        <scheme val="major"/>
      </rPr>
      <t>0975.898.628</t>
    </r>
  </si>
  <si>
    <r>
      <rPr>
        <sz val="11"/>
        <rFont val="Times New Roman"/>
        <family val="1"/>
        <scheme val="major"/>
      </rPr>
      <t>0989.510.655</t>
    </r>
  </si>
  <si>
    <r>
      <rPr>
        <sz val="11"/>
        <rFont val="Times New Roman"/>
        <family val="1"/>
        <scheme val="major"/>
      </rPr>
      <t>0947.868.597</t>
    </r>
  </si>
  <si>
    <r>
      <rPr>
        <sz val="11"/>
        <rFont val="Times New Roman"/>
        <family val="1"/>
        <scheme val="major"/>
      </rPr>
      <t>0356.113.219</t>
    </r>
  </si>
  <si>
    <r>
      <rPr>
        <sz val="11"/>
        <rFont val="Times New Roman"/>
        <family val="1"/>
        <scheme val="major"/>
      </rPr>
      <t>0976.315.693</t>
    </r>
  </si>
  <si>
    <r>
      <rPr>
        <sz val="11"/>
        <rFont val="Times New Roman"/>
        <family val="1"/>
        <scheme val="major"/>
      </rPr>
      <t>0963.122.607</t>
    </r>
  </si>
  <si>
    <r>
      <rPr>
        <sz val="11"/>
        <rFont val="Times New Roman"/>
        <family val="1"/>
        <scheme val="major"/>
      </rPr>
      <t>0948.246.464</t>
    </r>
  </si>
  <si>
    <r>
      <rPr>
        <sz val="11"/>
        <rFont val="Times New Roman"/>
        <family val="1"/>
        <scheme val="major"/>
      </rPr>
      <t>0989.800.080</t>
    </r>
  </si>
  <si>
    <r>
      <rPr>
        <sz val="11"/>
        <rFont val="Times New Roman"/>
        <family val="1"/>
        <scheme val="major"/>
      </rPr>
      <t>0989.205.183</t>
    </r>
  </si>
  <si>
    <r>
      <rPr>
        <sz val="11"/>
        <rFont val="Times New Roman"/>
        <family val="1"/>
        <scheme val="major"/>
      </rPr>
      <t>0976.319.318 0911.060.185</t>
    </r>
  </si>
  <si>
    <r>
      <rPr>
        <sz val="11"/>
        <rFont val="Times New Roman"/>
        <family val="1"/>
        <scheme val="major"/>
      </rPr>
      <t>0948.224.468</t>
    </r>
  </si>
  <si>
    <r>
      <rPr>
        <sz val="11"/>
        <rFont val="Times New Roman"/>
        <family val="1"/>
        <scheme val="major"/>
      </rPr>
      <t>0329.127.103</t>
    </r>
  </si>
  <si>
    <r>
      <rPr>
        <sz val="11"/>
        <rFont val="Times New Roman"/>
        <family val="1"/>
        <scheme val="major"/>
      </rPr>
      <t>0946.231.027</t>
    </r>
  </si>
  <si>
    <r>
      <rPr>
        <sz val="11"/>
        <rFont val="Times New Roman"/>
        <family val="1"/>
        <scheme val="major"/>
      </rPr>
      <t>0971.778.619</t>
    </r>
  </si>
  <si>
    <r>
      <rPr>
        <sz val="11"/>
        <rFont val="Times New Roman"/>
        <family val="1"/>
        <scheme val="major"/>
      </rPr>
      <t>0375.878.035</t>
    </r>
  </si>
  <si>
    <r>
      <rPr>
        <sz val="11"/>
        <rFont val="Times New Roman"/>
        <family val="1"/>
        <scheme val="major"/>
      </rPr>
      <t>0989.965.034</t>
    </r>
  </si>
  <si>
    <r>
      <rPr>
        <sz val="11"/>
        <rFont val="Times New Roman"/>
        <family val="1"/>
        <scheme val="major"/>
      </rPr>
      <t>0986.111329</t>
    </r>
  </si>
  <si>
    <r>
      <rPr>
        <sz val="11"/>
        <rFont val="Times New Roman"/>
        <family val="1"/>
        <scheme val="major"/>
      </rPr>
      <t>0967.498.002</t>
    </r>
  </si>
  <si>
    <r>
      <rPr>
        <sz val="11"/>
        <rFont val="Times New Roman"/>
        <family val="1"/>
        <scheme val="major"/>
      </rPr>
      <t>0982.088.952</t>
    </r>
  </si>
  <si>
    <r>
      <rPr>
        <sz val="11"/>
        <rFont val="Times New Roman"/>
        <family val="1"/>
        <scheme val="major"/>
      </rPr>
      <t>0985.418.989</t>
    </r>
  </si>
  <si>
    <r>
      <rPr>
        <sz val="11"/>
        <rFont val="Times New Roman"/>
        <family val="1"/>
        <scheme val="major"/>
      </rPr>
      <t>0988.778.545</t>
    </r>
  </si>
  <si>
    <r>
      <rPr>
        <sz val="11"/>
        <rFont val="Times New Roman"/>
        <family val="1"/>
        <scheme val="major"/>
      </rPr>
      <t>0989.857.809</t>
    </r>
  </si>
  <si>
    <r>
      <rPr>
        <sz val="11"/>
        <rFont val="Times New Roman"/>
        <family val="1"/>
        <scheme val="major"/>
      </rPr>
      <t>0982.010336</t>
    </r>
  </si>
  <si>
    <r>
      <rPr>
        <sz val="11"/>
        <rFont val="Times New Roman"/>
        <family val="1"/>
        <scheme val="major"/>
      </rPr>
      <t>0865.045.514</t>
    </r>
  </si>
  <si>
    <r>
      <rPr>
        <sz val="11"/>
        <rFont val="Times New Roman"/>
        <family val="1"/>
        <scheme val="major"/>
      </rPr>
      <t>0986.110.476</t>
    </r>
  </si>
  <si>
    <r>
      <rPr>
        <sz val="11"/>
        <rFont val="Times New Roman"/>
        <family val="1"/>
        <scheme val="major"/>
      </rPr>
      <t>0857.746.952</t>
    </r>
  </si>
  <si>
    <r>
      <rPr>
        <sz val="11"/>
        <rFont val="Times New Roman"/>
        <family val="1"/>
        <scheme val="major"/>
      </rPr>
      <t>0974.056.143</t>
    </r>
  </si>
  <si>
    <r>
      <rPr>
        <sz val="11"/>
        <rFont val="Times New Roman"/>
        <family val="1"/>
        <scheme val="major"/>
      </rPr>
      <t>0983.908.181</t>
    </r>
  </si>
  <si>
    <r>
      <rPr>
        <sz val="11"/>
        <rFont val="Times New Roman"/>
        <family val="1"/>
        <scheme val="major"/>
      </rPr>
      <t>0936.398.537</t>
    </r>
  </si>
  <si>
    <r>
      <rPr>
        <sz val="11"/>
        <rFont val="Times New Roman"/>
        <family val="1"/>
        <scheme val="major"/>
      </rPr>
      <t>0362.439.380</t>
    </r>
  </si>
  <si>
    <r>
      <rPr>
        <sz val="11"/>
        <rFont val="Times New Roman"/>
        <family val="1"/>
        <scheme val="major"/>
      </rPr>
      <t>0979.534.804</t>
    </r>
  </si>
  <si>
    <r>
      <rPr>
        <sz val="11"/>
        <rFont val="Times New Roman"/>
        <family val="1"/>
        <scheme val="major"/>
      </rPr>
      <t>0389.282.605</t>
    </r>
  </si>
  <si>
    <r>
      <rPr>
        <sz val="11"/>
        <rFont val="Times New Roman"/>
        <family val="1"/>
        <scheme val="major"/>
      </rPr>
      <t>0932.231.068</t>
    </r>
  </si>
  <si>
    <r>
      <rPr>
        <sz val="11"/>
        <rFont val="Times New Roman"/>
        <family val="1"/>
        <scheme val="major"/>
      </rPr>
      <t>0982.201.881</t>
    </r>
  </si>
  <si>
    <r>
      <rPr>
        <sz val="11"/>
        <rFont val="Times New Roman"/>
        <family val="1"/>
        <scheme val="major"/>
      </rPr>
      <t>0977.949.296</t>
    </r>
  </si>
  <si>
    <t>0982.203.883</t>
  </si>
  <si>
    <r>
      <rPr>
        <sz val="11"/>
        <rFont val="Times New Roman"/>
        <family val="1"/>
        <scheme val="major"/>
      </rPr>
      <t>0988.779.881</t>
    </r>
  </si>
  <si>
    <r>
      <rPr>
        <sz val="11"/>
        <rFont val="Times New Roman"/>
        <family val="1"/>
        <scheme val="major"/>
      </rPr>
      <t>0982.066.945</t>
    </r>
  </si>
  <si>
    <r>
      <rPr>
        <sz val="11"/>
        <rFont val="Times New Roman"/>
        <family val="1"/>
        <scheme val="major"/>
      </rPr>
      <t>0983.879.348</t>
    </r>
  </si>
  <si>
    <r>
      <rPr>
        <sz val="11"/>
        <rFont val="Times New Roman"/>
        <family val="1"/>
        <scheme val="major"/>
      </rPr>
      <t>0965.945.820</t>
    </r>
  </si>
  <si>
    <r>
      <rPr>
        <sz val="11"/>
        <rFont val="Times New Roman"/>
        <family val="1"/>
        <scheme val="major"/>
      </rPr>
      <t>0389.383.388</t>
    </r>
  </si>
  <si>
    <r>
      <rPr>
        <sz val="11"/>
        <rFont val="Times New Roman"/>
        <family val="1"/>
        <scheme val="major"/>
      </rPr>
      <t>0986.342.548</t>
    </r>
  </si>
  <si>
    <r>
      <rPr>
        <sz val="11"/>
        <rFont val="Times New Roman"/>
        <family val="1"/>
        <scheme val="major"/>
      </rPr>
      <t>0976.865.910</t>
    </r>
  </si>
  <si>
    <r>
      <rPr>
        <sz val="11"/>
        <rFont val="Times New Roman"/>
        <family val="1"/>
        <scheme val="major"/>
      </rPr>
      <t>0986.089.801</t>
    </r>
  </si>
  <si>
    <r>
      <rPr>
        <sz val="11"/>
        <rFont val="Times New Roman"/>
        <family val="1"/>
        <scheme val="major"/>
      </rPr>
      <t>0979.118.570</t>
    </r>
  </si>
  <si>
    <r>
      <rPr>
        <sz val="11"/>
        <rFont val="Times New Roman"/>
        <family val="1"/>
        <scheme val="major"/>
      </rPr>
      <t>0396.860.020</t>
    </r>
  </si>
  <si>
    <r>
      <rPr>
        <sz val="11"/>
        <rFont val="Times New Roman"/>
        <family val="1"/>
        <scheme val="major"/>
      </rPr>
      <t>0367.163.633</t>
    </r>
  </si>
  <si>
    <r>
      <rPr>
        <sz val="11"/>
        <rFont val="Times New Roman"/>
        <family val="1"/>
        <scheme val="major"/>
      </rPr>
      <t>0913.145.914</t>
    </r>
  </si>
  <si>
    <r>
      <rPr>
        <sz val="11"/>
        <rFont val="Times New Roman"/>
        <family val="1"/>
        <scheme val="major"/>
      </rPr>
      <t>0983.866.173</t>
    </r>
  </si>
  <si>
    <r>
      <rPr>
        <sz val="11"/>
        <rFont val="Times New Roman"/>
        <family val="1"/>
        <scheme val="major"/>
      </rPr>
      <t>0985.868.477</t>
    </r>
  </si>
  <si>
    <r>
      <rPr>
        <sz val="11"/>
        <rFont val="Times New Roman"/>
        <family val="1"/>
        <scheme val="major"/>
      </rPr>
      <t>0903.043.797</t>
    </r>
  </si>
  <si>
    <r>
      <rPr>
        <sz val="11"/>
        <rFont val="Times New Roman"/>
        <family val="1"/>
        <scheme val="major"/>
      </rPr>
      <t>0989.366.642</t>
    </r>
  </si>
  <si>
    <r>
      <rPr>
        <sz val="11"/>
        <rFont val="Times New Roman"/>
        <family val="1"/>
        <scheme val="major"/>
      </rPr>
      <t>0989.015.630</t>
    </r>
  </si>
  <si>
    <r>
      <rPr>
        <sz val="11"/>
        <rFont val="Times New Roman"/>
        <family val="1"/>
        <scheme val="major"/>
      </rPr>
      <t>0986.689.544</t>
    </r>
  </si>
  <si>
    <r>
      <rPr>
        <sz val="11"/>
        <rFont val="Times New Roman"/>
        <family val="1"/>
        <scheme val="major"/>
      </rPr>
      <t>0979.709.976</t>
    </r>
  </si>
  <si>
    <r>
      <rPr>
        <sz val="11"/>
        <rFont val="Times New Roman"/>
        <family val="1"/>
        <scheme val="major"/>
      </rPr>
      <t>0983.277.804</t>
    </r>
  </si>
  <si>
    <r>
      <rPr>
        <sz val="11"/>
        <rFont val="Times New Roman"/>
        <family val="1"/>
        <scheme val="major"/>
      </rPr>
      <t>0983.604.602</t>
    </r>
  </si>
  <si>
    <r>
      <rPr>
        <sz val="11"/>
        <rFont val="Times New Roman"/>
        <family val="1"/>
        <scheme val="major"/>
      </rPr>
      <t>0964.840.799</t>
    </r>
  </si>
  <si>
    <r>
      <rPr>
        <sz val="11"/>
        <rFont val="Times New Roman"/>
        <family val="1"/>
        <scheme val="major"/>
      </rPr>
      <t>0988.513.639</t>
    </r>
  </si>
  <si>
    <r>
      <rPr>
        <sz val="11"/>
        <rFont val="Times New Roman"/>
        <family val="1"/>
        <scheme val="major"/>
      </rPr>
      <t>0933.345.896</t>
    </r>
  </si>
  <si>
    <r>
      <rPr>
        <sz val="11"/>
        <rFont val="Times New Roman"/>
        <family val="1"/>
        <scheme val="major"/>
      </rPr>
      <t>0383.251.133</t>
    </r>
  </si>
  <si>
    <r>
      <rPr>
        <sz val="11"/>
        <rFont val="Times New Roman"/>
        <family val="1"/>
        <scheme val="major"/>
      </rPr>
      <t>0963.380.639 .</t>
    </r>
  </si>
  <si>
    <r>
      <rPr>
        <sz val="11"/>
        <rFont val="Times New Roman"/>
        <family val="1"/>
        <scheme val="major"/>
      </rPr>
      <t>0966.171.915</t>
    </r>
  </si>
  <si>
    <r>
      <rPr>
        <sz val="11"/>
        <rFont val="Times New Roman"/>
        <family val="1"/>
        <scheme val="major"/>
      </rPr>
      <t>0366.677.392</t>
    </r>
  </si>
  <si>
    <r>
      <rPr>
        <sz val="11"/>
        <rFont val="Times New Roman"/>
        <family val="1"/>
        <scheme val="major"/>
      </rPr>
      <t>0967.177.880</t>
    </r>
  </si>
  <si>
    <r>
      <rPr>
        <sz val="11"/>
        <rFont val="Times New Roman"/>
        <family val="1"/>
        <scheme val="major"/>
      </rPr>
      <t>0989.540.292</t>
    </r>
  </si>
  <si>
    <r>
      <rPr>
        <sz val="11"/>
        <rFont val="Times New Roman"/>
        <family val="1"/>
        <scheme val="major"/>
      </rPr>
      <t>0961.674.489</t>
    </r>
  </si>
  <si>
    <r>
      <rPr>
        <sz val="11"/>
        <rFont val="Times New Roman"/>
        <family val="1"/>
        <scheme val="major"/>
      </rPr>
      <t>0989.858.468</t>
    </r>
  </si>
  <si>
    <r>
      <rPr>
        <sz val="11"/>
        <rFont val="Times New Roman"/>
        <family val="1"/>
        <scheme val="major"/>
      </rPr>
      <t>0906.433.312</t>
    </r>
  </si>
  <si>
    <r>
      <rPr>
        <sz val="11"/>
        <rFont val="Times New Roman"/>
        <family val="1"/>
        <scheme val="major"/>
      </rPr>
      <t>0974.889.785</t>
    </r>
  </si>
  <si>
    <r>
      <rPr>
        <sz val="11"/>
        <rFont val="Times New Roman"/>
        <family val="1"/>
        <scheme val="major"/>
      </rPr>
      <t>0834.088.838</t>
    </r>
  </si>
  <si>
    <r>
      <rPr>
        <sz val="11"/>
        <rFont val="Times New Roman"/>
        <family val="1"/>
        <scheme val="major"/>
      </rPr>
      <t>0979.882.208</t>
    </r>
  </si>
  <si>
    <r>
      <rPr>
        <sz val="11"/>
        <rFont val="Times New Roman"/>
        <family val="1"/>
        <scheme val="major"/>
      </rPr>
      <t>0375.071.855</t>
    </r>
  </si>
  <si>
    <r>
      <rPr>
        <sz val="11"/>
        <rFont val="Times New Roman"/>
        <family val="1"/>
        <scheme val="major"/>
      </rPr>
      <t>0349.172.315</t>
    </r>
  </si>
  <si>
    <r>
      <rPr>
        <sz val="11"/>
        <rFont val="Times New Roman"/>
        <family val="1"/>
        <scheme val="major"/>
      </rPr>
      <t>0346.065.474</t>
    </r>
  </si>
  <si>
    <r>
      <rPr>
        <sz val="11"/>
        <rFont val="Times New Roman"/>
        <family val="1"/>
        <scheme val="major"/>
      </rPr>
      <t>0374.660.571</t>
    </r>
  </si>
  <si>
    <r>
      <rPr>
        <sz val="11"/>
        <rFont val="Times New Roman"/>
        <family val="1"/>
        <scheme val="major"/>
      </rPr>
      <t>0983.110.799</t>
    </r>
  </si>
  <si>
    <r>
      <rPr>
        <sz val="11"/>
        <rFont val="Times New Roman"/>
        <family val="1"/>
        <scheme val="major"/>
      </rPr>
      <t>0975.963.587</t>
    </r>
  </si>
  <si>
    <r>
      <rPr>
        <sz val="11"/>
        <rFont val="Times New Roman"/>
        <family val="1"/>
        <scheme val="major"/>
      </rPr>
      <t>0362.078.232</t>
    </r>
  </si>
  <si>
    <r>
      <rPr>
        <sz val="11"/>
        <rFont val="Times New Roman"/>
        <family val="1"/>
        <scheme val="major"/>
      </rPr>
      <t>0906.039.607</t>
    </r>
  </si>
  <si>
    <r>
      <rPr>
        <sz val="11"/>
        <rFont val="Times New Roman"/>
        <family val="1"/>
        <scheme val="major"/>
      </rPr>
      <t>0977.185.286</t>
    </r>
  </si>
  <si>
    <r>
      <rPr>
        <sz val="11"/>
        <rFont val="Times New Roman"/>
        <family val="1"/>
        <scheme val="major"/>
      </rPr>
      <t>0983.067.001</t>
    </r>
  </si>
  <si>
    <r>
      <rPr>
        <sz val="11"/>
        <rFont val="Times New Roman"/>
        <family val="1"/>
        <scheme val="major"/>
      </rPr>
      <t>0908.146.410</t>
    </r>
  </si>
  <si>
    <r>
      <rPr>
        <sz val="11"/>
        <rFont val="Times New Roman"/>
        <family val="1"/>
        <scheme val="major"/>
      </rPr>
      <t>0347.164.423</t>
    </r>
  </si>
  <si>
    <r>
      <rPr>
        <sz val="11"/>
        <rFont val="Times New Roman"/>
        <family val="1"/>
        <scheme val="major"/>
      </rPr>
      <t>0399.956.450</t>
    </r>
  </si>
  <si>
    <r>
      <rPr>
        <sz val="11"/>
        <rFont val="Times New Roman"/>
        <family val="1"/>
        <scheme val="major"/>
      </rPr>
      <t>0969.647.185</t>
    </r>
  </si>
  <si>
    <r>
      <rPr>
        <sz val="11"/>
        <rFont val="Times New Roman"/>
        <family val="1"/>
        <scheme val="major"/>
      </rPr>
      <t>0913.715.986</t>
    </r>
  </si>
  <si>
    <r>
      <rPr>
        <sz val="11"/>
        <rFont val="Times New Roman"/>
        <family val="1"/>
        <scheme val="major"/>
      </rPr>
      <t>0357.536.42S</t>
    </r>
  </si>
  <si>
    <r>
      <rPr>
        <sz val="11"/>
        <rFont val="Times New Roman"/>
        <family val="1"/>
        <scheme val="major"/>
      </rPr>
      <t>0989.015.656</t>
    </r>
  </si>
  <si>
    <r>
      <rPr>
        <sz val="11"/>
        <rFont val="Times New Roman"/>
        <family val="1"/>
        <scheme val="major"/>
      </rPr>
      <t>0974.732.474</t>
    </r>
  </si>
  <si>
    <r>
      <rPr>
        <sz val="11"/>
        <rFont val="Times New Roman"/>
        <family val="1"/>
        <scheme val="major"/>
      </rPr>
      <t>0983.600.098</t>
    </r>
  </si>
  <si>
    <r>
      <rPr>
        <sz val="11"/>
        <rFont val="Times New Roman"/>
        <family val="1"/>
        <scheme val="major"/>
      </rPr>
      <t>0379.185.867</t>
    </r>
  </si>
  <si>
    <r>
      <rPr>
        <sz val="11"/>
        <rFont val="Times New Roman"/>
        <family val="1"/>
        <scheme val="major"/>
      </rPr>
      <t>0989.015.632</t>
    </r>
  </si>
  <si>
    <r>
      <rPr>
        <sz val="11"/>
        <rFont val="Times New Roman"/>
        <family val="1"/>
        <scheme val="major"/>
      </rPr>
      <t>0918.014.265</t>
    </r>
  </si>
  <si>
    <r>
      <rPr>
        <sz val="11"/>
        <rFont val="Times New Roman"/>
        <family val="1"/>
        <scheme val="major"/>
      </rPr>
      <t>0989.015.624</t>
    </r>
  </si>
  <si>
    <r>
      <rPr>
        <sz val="11"/>
        <rFont val="Times New Roman"/>
        <family val="1"/>
        <scheme val="major"/>
      </rPr>
      <t>0868.924.280</t>
    </r>
  </si>
  <si>
    <r>
      <rPr>
        <sz val="11"/>
        <rFont val="Times New Roman"/>
        <family val="1"/>
        <scheme val="major"/>
      </rPr>
      <t>0961.807.605</t>
    </r>
  </si>
  <si>
    <r>
      <rPr>
        <sz val="11"/>
        <rFont val="Times New Roman"/>
        <family val="1"/>
        <scheme val="major"/>
      </rPr>
      <t>0374.033.101</t>
    </r>
  </si>
  <si>
    <r>
      <rPr>
        <sz val="11"/>
        <rFont val="Times New Roman"/>
        <family val="1"/>
        <scheme val="major"/>
      </rPr>
      <t>0988.066.873</t>
    </r>
  </si>
  <si>
    <r>
      <rPr>
        <sz val="11"/>
        <rFont val="Times New Roman"/>
        <family val="1"/>
        <scheme val="major"/>
      </rPr>
      <t>0976.656.017</t>
    </r>
  </si>
  <si>
    <r>
      <rPr>
        <sz val="11"/>
        <rFont val="Times New Roman"/>
        <family val="1"/>
        <scheme val="major"/>
      </rPr>
      <t>0963.099.591</t>
    </r>
  </si>
  <si>
    <r>
      <rPr>
        <sz val="11"/>
        <rFont val="Times New Roman"/>
        <family val="1"/>
        <scheme val="major"/>
      </rPr>
      <t>0976.879.068 0949.490.198</t>
    </r>
  </si>
  <si>
    <r>
      <rPr>
        <sz val="11"/>
        <rFont val="Times New Roman"/>
        <family val="1"/>
        <scheme val="major"/>
      </rPr>
      <t>0964.059.911</t>
    </r>
  </si>
  <si>
    <r>
      <rPr>
        <sz val="11"/>
        <rFont val="Times New Roman"/>
        <family val="1"/>
        <scheme val="major"/>
      </rPr>
      <t>0879.217.320</t>
    </r>
  </si>
  <si>
    <r>
      <rPr>
        <sz val="11"/>
        <rFont val="Times New Roman"/>
        <family val="1"/>
        <scheme val="major"/>
      </rPr>
      <t>0969.730.069</t>
    </r>
  </si>
  <si>
    <r>
      <rPr>
        <sz val="11"/>
        <rFont val="Times New Roman"/>
        <family val="1"/>
        <scheme val="major"/>
      </rPr>
      <t>0329.995.818</t>
    </r>
  </si>
  <si>
    <r>
      <rPr>
        <sz val="11"/>
        <rFont val="Times New Roman"/>
        <family val="1"/>
        <scheme val="major"/>
      </rPr>
      <t>0383.760.078</t>
    </r>
  </si>
  <si>
    <r>
      <rPr>
        <sz val="11"/>
        <rFont val="Times New Roman"/>
        <family val="1"/>
        <scheme val="major"/>
      </rPr>
      <t>0979.964.779</t>
    </r>
  </si>
  <si>
    <r>
      <rPr>
        <sz val="11"/>
        <rFont val="Times New Roman"/>
        <family val="1"/>
        <scheme val="major"/>
      </rPr>
      <t>0972.686.661</t>
    </r>
  </si>
  <si>
    <r>
      <rPr>
        <sz val="11"/>
        <rFont val="Times New Roman"/>
        <family val="1"/>
        <scheme val="major"/>
      </rPr>
      <t>0984.002.319</t>
    </r>
  </si>
  <si>
    <r>
      <rPr>
        <sz val="11"/>
        <rFont val="Times New Roman"/>
        <family val="1"/>
        <scheme val="major"/>
      </rPr>
      <t>0368.553.739</t>
    </r>
  </si>
  <si>
    <r>
      <rPr>
        <sz val="11"/>
        <rFont val="Times New Roman"/>
        <family val="1"/>
        <scheme val="major"/>
      </rPr>
      <t>0968.140.807</t>
    </r>
  </si>
  <si>
    <r>
      <rPr>
        <sz val="11"/>
        <rFont val="Times New Roman"/>
        <family val="1"/>
        <scheme val="major"/>
      </rPr>
      <t>0977.281.563</t>
    </r>
  </si>
  <si>
    <r>
      <rPr>
        <sz val="11"/>
        <rFont val="Times New Roman"/>
        <family val="1"/>
        <scheme val="major"/>
      </rPr>
      <t>0986.651.155</t>
    </r>
  </si>
  <si>
    <r>
      <rPr>
        <sz val="11"/>
        <rFont val="Times New Roman"/>
        <family val="1"/>
        <scheme val="major"/>
      </rPr>
      <t>0978.589.929</t>
    </r>
  </si>
  <si>
    <r>
      <rPr>
        <sz val="11"/>
        <rFont val="Times New Roman"/>
        <family val="1"/>
        <scheme val="major"/>
      </rPr>
      <t>0969.614.460</t>
    </r>
  </si>
  <si>
    <r>
      <rPr>
        <sz val="11"/>
        <rFont val="Times New Roman"/>
        <family val="1"/>
        <scheme val="major"/>
      </rPr>
      <t>0966.367.671</t>
    </r>
  </si>
  <si>
    <r>
      <rPr>
        <sz val="11"/>
        <rFont val="Times New Roman"/>
        <family val="1"/>
        <scheme val="major"/>
      </rPr>
      <t>0979.094.180</t>
    </r>
  </si>
  <si>
    <r>
      <rPr>
        <sz val="11"/>
        <rFont val="Times New Roman"/>
        <family val="1"/>
        <scheme val="major"/>
      </rPr>
      <t>0973.960.330</t>
    </r>
  </si>
  <si>
    <r>
      <rPr>
        <sz val="11"/>
        <rFont val="Times New Roman"/>
        <family val="1"/>
        <scheme val="major"/>
      </rPr>
      <t>0979.804.801</t>
    </r>
  </si>
  <si>
    <r>
      <rPr>
        <sz val="11"/>
        <rFont val="Times New Roman"/>
        <family val="1"/>
        <scheme val="major"/>
      </rPr>
      <t>0983.313.506 0396.075.577</t>
    </r>
  </si>
  <si>
    <r>
      <rPr>
        <sz val="11"/>
        <rFont val="Times New Roman"/>
        <family val="1"/>
        <scheme val="major"/>
      </rPr>
      <t>0981.936.877</t>
    </r>
  </si>
  <si>
    <r>
      <rPr>
        <sz val="11"/>
        <rFont val="Times New Roman"/>
        <family val="1"/>
        <scheme val="major"/>
      </rPr>
      <t>0989.771.991</t>
    </r>
  </si>
  <si>
    <r>
      <rPr>
        <sz val="11"/>
        <rFont val="Times New Roman"/>
        <family val="1"/>
        <scheme val="major"/>
      </rPr>
      <t>0395.201.080</t>
    </r>
  </si>
  <si>
    <r>
      <rPr>
        <sz val="11"/>
        <rFont val="Times New Roman"/>
        <family val="1"/>
        <scheme val="major"/>
      </rPr>
      <t>0365.150.936</t>
    </r>
  </si>
  <si>
    <r>
      <rPr>
        <sz val="11"/>
        <rFont val="Times New Roman"/>
        <family val="1"/>
        <scheme val="major"/>
      </rPr>
      <t>0374.487.395</t>
    </r>
  </si>
  <si>
    <r>
      <rPr>
        <sz val="11"/>
        <rFont val="Times New Roman"/>
        <family val="1"/>
        <scheme val="major"/>
      </rPr>
      <t>0987.273.369</t>
    </r>
  </si>
  <si>
    <r>
      <rPr>
        <sz val="11"/>
        <rFont val="Times New Roman"/>
        <family val="1"/>
        <scheme val="major"/>
      </rPr>
      <t>0394.003.176</t>
    </r>
  </si>
  <si>
    <r>
      <rPr>
        <sz val="11"/>
        <rFont val="Times New Roman"/>
        <family val="1"/>
        <scheme val="major"/>
      </rPr>
      <t>0988.877.106</t>
    </r>
  </si>
  <si>
    <r>
      <rPr>
        <sz val="11"/>
        <rFont val="Times New Roman"/>
        <family val="1"/>
        <scheme val="major"/>
      </rPr>
      <t>0977.415.399</t>
    </r>
  </si>
  <si>
    <r>
      <rPr>
        <sz val="11"/>
        <rFont val="Times New Roman"/>
        <family val="1"/>
        <scheme val="major"/>
      </rPr>
      <t>0979.895.993</t>
    </r>
  </si>
  <si>
    <r>
      <rPr>
        <sz val="11"/>
        <rFont val="Times New Roman"/>
        <family val="1"/>
        <scheme val="major"/>
      </rPr>
      <t>0988.554.477</t>
    </r>
  </si>
  <si>
    <r>
      <rPr>
        <sz val="11"/>
        <rFont val="Times New Roman"/>
        <family val="1"/>
        <scheme val="major"/>
      </rPr>
      <t>0869.514.226</t>
    </r>
  </si>
  <si>
    <r>
      <rPr>
        <sz val="11"/>
        <rFont val="Times New Roman"/>
        <family val="1"/>
        <scheme val="major"/>
      </rPr>
      <t>0982.957.583</t>
    </r>
  </si>
  <si>
    <r>
      <rPr>
        <sz val="11"/>
        <rFont val="Times New Roman"/>
        <family val="1"/>
        <scheme val="major"/>
      </rPr>
      <t>0862.452.609</t>
    </r>
  </si>
  <si>
    <r>
      <rPr>
        <sz val="11"/>
        <rFont val="Times New Roman"/>
        <family val="1"/>
        <scheme val="major"/>
      </rPr>
      <t>0935.451.199</t>
    </r>
  </si>
  <si>
    <r>
      <rPr>
        <sz val="11"/>
        <rFont val="Times New Roman"/>
        <family val="1"/>
        <scheme val="major"/>
      </rPr>
      <t>0905.296.577 0395.922.470</t>
    </r>
  </si>
  <si>
    <r>
      <rPr>
        <sz val="11"/>
        <rFont val="Times New Roman"/>
        <family val="1"/>
        <scheme val="major"/>
      </rPr>
      <t>0869.789.359</t>
    </r>
  </si>
  <si>
    <r>
      <rPr>
        <sz val="11"/>
        <rFont val="Times New Roman"/>
        <family val="1"/>
        <scheme val="major"/>
      </rPr>
      <t>0778.586.809</t>
    </r>
  </si>
  <si>
    <r>
      <rPr>
        <sz val="11"/>
        <rFont val="Times New Roman"/>
        <family val="1"/>
        <scheme val="major"/>
      </rPr>
      <t>0385.501.185</t>
    </r>
  </si>
  <si>
    <r>
      <rPr>
        <sz val="11"/>
        <rFont val="Times New Roman"/>
        <family val="1"/>
        <scheme val="major"/>
      </rPr>
      <t>0987.075.278</t>
    </r>
  </si>
  <si>
    <r>
      <rPr>
        <sz val="11"/>
        <rFont val="Times New Roman"/>
        <family val="1"/>
        <scheme val="major"/>
      </rPr>
      <t>0975.001.125 0364.785.571</t>
    </r>
  </si>
  <si>
    <r>
      <rPr>
        <sz val="11"/>
        <rFont val="Times New Roman"/>
        <family val="1"/>
        <scheme val="major"/>
      </rPr>
      <t>0986.019.997</t>
    </r>
  </si>
  <si>
    <r>
      <rPr>
        <sz val="11"/>
        <rFont val="Times New Roman"/>
        <family val="1"/>
        <scheme val="major"/>
      </rPr>
      <t>0979.259.798</t>
    </r>
  </si>
  <si>
    <r>
      <rPr>
        <sz val="11"/>
        <rFont val="Times New Roman"/>
        <family val="1"/>
        <scheme val="major"/>
      </rPr>
      <t>0989.157.198</t>
    </r>
  </si>
  <si>
    <r>
      <rPr>
        <sz val="11"/>
        <rFont val="Times New Roman"/>
        <family val="1"/>
        <scheme val="major"/>
      </rPr>
      <t>0983.210.215</t>
    </r>
  </si>
  <si>
    <r>
      <rPr>
        <sz val="11"/>
        <rFont val="Times New Roman"/>
        <family val="1"/>
        <scheme val="major"/>
      </rPr>
      <t>0983.538.659</t>
    </r>
  </si>
  <si>
    <r>
      <rPr>
        <sz val="11"/>
        <rFont val="Times New Roman"/>
        <family val="1"/>
        <scheme val="major"/>
      </rPr>
      <t>0353.302.743</t>
    </r>
  </si>
  <si>
    <r>
      <rPr>
        <sz val="11"/>
        <rFont val="Times New Roman"/>
        <family val="1"/>
        <scheme val="major"/>
      </rPr>
      <t>0327.795.099</t>
    </r>
  </si>
  <si>
    <r>
      <rPr>
        <sz val="11"/>
        <rFont val="Times New Roman"/>
        <family val="1"/>
        <scheme val="major"/>
      </rPr>
      <t>0982.302.794</t>
    </r>
  </si>
  <si>
    <r>
      <rPr>
        <sz val="11"/>
        <rFont val="Times New Roman"/>
        <family val="1"/>
        <scheme val="major"/>
      </rPr>
      <t>0913.622.108</t>
    </r>
  </si>
  <si>
    <r>
      <rPr>
        <sz val="11"/>
        <rFont val="Times New Roman"/>
        <family val="1"/>
        <scheme val="major"/>
      </rPr>
      <t>0969.929.191</t>
    </r>
  </si>
  <si>
    <r>
      <rPr>
        <sz val="11"/>
        <rFont val="Times New Roman"/>
        <family val="1"/>
        <scheme val="major"/>
      </rPr>
      <t>0981.666.679</t>
    </r>
  </si>
  <si>
    <r>
      <rPr>
        <sz val="11"/>
        <rFont val="Times New Roman"/>
        <family val="1"/>
        <scheme val="major"/>
      </rPr>
      <t>0982.220.600</t>
    </r>
  </si>
  <si>
    <r>
      <rPr>
        <sz val="11"/>
        <rFont val="Times New Roman"/>
        <family val="1"/>
        <scheme val="major"/>
      </rPr>
      <t>0398.587.188</t>
    </r>
  </si>
  <si>
    <r>
      <rPr>
        <sz val="11"/>
        <rFont val="Times New Roman"/>
        <family val="1"/>
        <scheme val="major"/>
      </rPr>
      <t>0979.933.037</t>
    </r>
  </si>
  <si>
    <r>
      <rPr>
        <sz val="11"/>
        <rFont val="Times New Roman"/>
        <family val="1"/>
        <scheme val="major"/>
      </rPr>
      <t>0364.187.583</t>
    </r>
  </si>
  <si>
    <r>
      <rPr>
        <sz val="11"/>
        <rFont val="Times New Roman"/>
        <family val="1"/>
        <scheme val="major"/>
      </rPr>
      <t>0989.809.458</t>
    </r>
  </si>
  <si>
    <r>
      <rPr>
        <sz val="11"/>
        <rFont val="Times New Roman"/>
        <family val="1"/>
        <scheme val="major"/>
      </rPr>
      <t>0983.383.840</t>
    </r>
  </si>
  <si>
    <r>
      <rPr>
        <sz val="11"/>
        <rFont val="Times New Roman"/>
        <family val="1"/>
        <scheme val="major"/>
      </rPr>
      <t>0968.155.786</t>
    </r>
  </si>
  <si>
    <r>
      <rPr>
        <sz val="11"/>
        <rFont val="Times New Roman"/>
        <family val="1"/>
        <scheme val="major"/>
      </rPr>
      <t>0975.828.082</t>
    </r>
  </si>
  <si>
    <r>
      <rPr>
        <sz val="11"/>
        <rFont val="Times New Roman"/>
        <family val="1"/>
        <scheme val="major"/>
      </rPr>
      <t>0988.333.174</t>
    </r>
  </si>
  <si>
    <r>
      <rPr>
        <sz val="11"/>
        <rFont val="Times New Roman"/>
        <family val="1"/>
        <scheme val="major"/>
      </rPr>
      <t>0386.069.144</t>
    </r>
  </si>
  <si>
    <r>
      <rPr>
        <sz val="11"/>
        <rFont val="Times New Roman"/>
        <family val="1"/>
        <scheme val="major"/>
      </rPr>
      <t>0967.301.898</t>
    </r>
  </si>
  <si>
    <r>
      <rPr>
        <sz val="11"/>
        <rFont val="Times New Roman"/>
        <family val="1"/>
        <scheme val="major"/>
      </rPr>
      <t>0978.869.017</t>
    </r>
  </si>
  <si>
    <r>
      <rPr>
        <sz val="11"/>
        <rFont val="Times New Roman"/>
        <family val="1"/>
        <scheme val="major"/>
      </rPr>
      <t>0908.613.661</t>
    </r>
  </si>
  <si>
    <r>
      <rPr>
        <sz val="11"/>
        <rFont val="Times New Roman"/>
        <family val="1"/>
        <scheme val="major"/>
      </rPr>
      <t>0903.788.712</t>
    </r>
  </si>
  <si>
    <r>
      <rPr>
        <sz val="11"/>
        <rFont val="Times New Roman"/>
        <family val="1"/>
        <scheme val="major"/>
      </rPr>
      <t>0977.811.474</t>
    </r>
  </si>
  <si>
    <r>
      <rPr>
        <sz val="11"/>
        <rFont val="Times New Roman"/>
        <family val="1"/>
        <scheme val="major"/>
      </rPr>
      <t>0964.318.490</t>
    </r>
  </si>
  <si>
    <r>
      <rPr>
        <sz val="11"/>
        <rFont val="Times New Roman"/>
        <family val="1"/>
        <scheme val="major"/>
      </rPr>
      <t>0988.653.824</t>
    </r>
  </si>
  <si>
    <r>
      <rPr>
        <sz val="11"/>
        <rFont val="Times New Roman"/>
        <family val="1"/>
        <scheme val="major"/>
      </rPr>
      <t>0908.609.172</t>
    </r>
  </si>
  <si>
    <r>
      <rPr>
        <sz val="11"/>
        <rFont val="Times New Roman"/>
        <family val="1"/>
        <scheme val="major"/>
      </rPr>
      <t>0906.789.946</t>
    </r>
  </si>
  <si>
    <r>
      <rPr>
        <sz val="11"/>
        <rFont val="Times New Roman"/>
        <family val="1"/>
        <scheme val="major"/>
      </rPr>
      <t>0989.992.036</t>
    </r>
  </si>
  <si>
    <r>
      <rPr>
        <sz val="11"/>
        <rFont val="Times New Roman"/>
        <family val="1"/>
        <scheme val="major"/>
      </rPr>
      <t>0983.801.202</t>
    </r>
  </si>
  <si>
    <r>
      <rPr>
        <sz val="11"/>
        <rFont val="Times New Roman"/>
        <family val="1"/>
        <scheme val="major"/>
      </rPr>
      <t>0365.877.800</t>
    </r>
  </si>
  <si>
    <r>
      <rPr>
        <b/>
        <sz val="11"/>
        <rFont val="Times New Roman"/>
        <family val="1"/>
        <scheme val="major"/>
      </rPr>
      <t>0976.667.757</t>
    </r>
  </si>
  <si>
    <r>
      <rPr>
        <sz val="11"/>
        <rFont val="Times New Roman"/>
        <family val="1"/>
        <scheme val="major"/>
      </rPr>
      <t>0389.970.587</t>
    </r>
  </si>
  <si>
    <r>
      <rPr>
        <sz val="11"/>
        <rFont val="Times New Roman"/>
        <family val="1"/>
        <scheme val="major"/>
      </rPr>
      <t>0962.136.686</t>
    </r>
  </si>
  <si>
    <r>
      <rPr>
        <b/>
        <sz val="11"/>
        <rFont val="Times New Roman"/>
        <family val="1"/>
        <scheme val="major"/>
      </rPr>
      <t>0983.036.700</t>
    </r>
  </si>
  <si>
    <r>
      <rPr>
        <sz val="11"/>
        <rFont val="Times New Roman"/>
        <family val="1"/>
        <scheme val="major"/>
      </rPr>
      <t>0947.449.540</t>
    </r>
  </si>
  <si>
    <r>
      <rPr>
        <sz val="11"/>
        <rFont val="Times New Roman"/>
        <family val="1"/>
        <scheme val="major"/>
      </rPr>
      <t>0985.872.880</t>
    </r>
  </si>
  <si>
    <r>
      <rPr>
        <sz val="11"/>
        <rFont val="Times New Roman"/>
        <family val="1"/>
        <scheme val="major"/>
      </rPr>
      <t>0979.118.434</t>
    </r>
  </si>
  <si>
    <t>Để dành</t>
  </si>
  <si>
    <t>TLNC</t>
  </si>
  <si>
    <t>Trưởng trạm</t>
  </si>
  <si>
    <t>Phó trưởng trạm</t>
  </si>
  <si>
    <t>Trợ lý</t>
  </si>
  <si>
    <t>Thủ quỹ</t>
  </si>
  <si>
    <t>Trợ lý CNTT</t>
  </si>
  <si>
    <t>Phiên dịch</t>
  </si>
  <si>
    <t>Cong ty B Sua 2</t>
  </si>
  <si>
    <t>Số 3 đường 3 tháng 2, P.11, Q.10, TP.HCM-sua</t>
  </si>
  <si>
    <t>17/04/2011</t>
  </si>
  <si>
    <t>0941.073.010</t>
  </si>
  <si>
    <t>29/07/2022</t>
  </si>
  <si>
    <t>15/08/2022</t>
  </si>
  <si>
    <t>0344.696.587</t>
  </si>
  <si>
    <t>Số 3, Đường 3 tháng 2, P.11, Q.10, TP.HCM</t>
  </si>
  <si>
    <t>0989.015.622</t>
  </si>
  <si>
    <t>vm@gmail.com</t>
  </si>
  <si>
    <t>15/10/2016</t>
  </si>
  <si>
    <t>0986.754.986</t>
  </si>
  <si>
    <t>0985.383.846</t>
  </si>
  <si>
    <t>0988.085.625</t>
  </si>
  <si>
    <t>CNPN</t>
  </si>
  <si>
    <t>0918.163.676</t>
  </si>
  <si>
    <t>Mã quản lý nội bộ Head</t>
  </si>
  <si>
    <t>Danh mục hàng hóa</t>
  </si>
  <si>
    <t>Khối lượng</t>
  </si>
  <si>
    <t>Mô tả hàng hóa(1)</t>
  </si>
  <si>
    <t>Yêu cầu về xuất xứ hàng hóa (nếu có) (2)</t>
  </si>
  <si>
    <t>Mã sản phẩm (nếu có)</t>
  </si>
  <si>
    <t>Hãng sản xuất</t>
  </si>
  <si>
    <t>Đơn giá (VNĐ)</t>
  </si>
  <si>
    <t>Thành tiền (VNĐ)</t>
  </si>
  <si>
    <t>Địa điểm dự án</t>
  </si>
  <si>
    <t>Ngày giao hàng sớm nhất (3)</t>
  </si>
  <si>
    <t>Ngày giao hàng muộn nhất (3)</t>
  </si>
  <si>
    <t>Mã HS</t>
  </si>
  <si>
    <t>[[Mothau_xong]]</t>
  </si>
  <si>
    <t>Nguyễn Kim Ngân</t>
  </si>
  <si>
    <t>Trần Thị Thủy</t>
  </si>
  <si>
    <t>Hà Thị Thanh Bình</t>
  </si>
  <si>
    <t>Trần Trung Đức</t>
  </si>
  <si>
    <t>Nguyễn Thị Hồng Xanh</t>
  </si>
  <si>
    <t>Võ Thị Hà</t>
  </si>
  <si>
    <t>Nguyễn Thị Phương Anh</t>
  </si>
  <si>
    <t/>
  </si>
  <si>
    <t>NV kế toán - thống kê</t>
  </si>
  <si>
    <t>Cấp Quốc gia</t>
  </si>
  <si>
    <t>[[ChuDauTu]]</t>
  </si>
  <si>
    <t>[[MuaThem]]</t>
  </si>
  <si>
    <t>Chủ đầu tư</t>
  </si>
  <si>
    <t>[[TTr_Dchinh_d]]</t>
  </si>
  <si>
    <t>[[ND_Dchinh]]</t>
  </si>
  <si>
    <t>[[LyDo_Dchinh]]</t>
  </si>
  <si>
    <t>[[BCTD_Dchinh_d]]</t>
  </si>
  <si>
    <t>[[QD_Dchinh]]</t>
  </si>
  <si>
    <t>[[QD_Dchinh_d]]</t>
  </si>
  <si>
    <t>[[GiaHanHSMT_d]]</t>
  </si>
  <si>
    <t>[[TTrHuyThau_d]]</t>
  </si>
  <si>
    <t>[[LyDo_HuyThau]]</t>
  </si>
  <si>
    <t>[[QDHuyThau_d]]</t>
  </si>
  <si>
    <t>[[QDHuyThau_So]]</t>
  </si>
  <si>
    <t>Giá trị (VNĐ)</t>
  </si>
  <si>
    <t>Bảng số 3. Phân chia gói thầu</t>
  </si>
  <si>
    <t>Lý do không áp dụng HTLCNT</t>
  </si>
  <si>
    <t>Thời gian thực hiện gói thầu</t>
  </si>
  <si>
    <t>Nội dung thẩm định</t>
  </si>
  <si>
    <t>Kết quả thẩm định</t>
  </si>
  <si>
    <t>Tuân thủ, phù hợp</t>
  </si>
  <si>
    <t>Không tuân thủ hoặc không phù hợp</t>
  </si>
  <si>
    <t>Gói thầu số 2</t>
  </si>
  <si>
    <t>Gói thầu số 1</t>
  </si>
  <si>
    <t>x</t>
  </si>
  <si>
    <t>Tên nhà thầu</t>
  </si>
  <si>
    <t>Tính hợp lệ hồ sơ dự thầu</t>
  </si>
  <si>
    <t>Năng lực kinh nghiệm</t>
  </si>
  <si>
    <t>Kỹ thuật</t>
  </si>
  <si>
    <t>Hiệu chỉnh sai lệch (nếu có)</t>
  </si>
  <si>
    <t>Giá trị giảm giá (nếu có)</t>
  </si>
  <si>
    <t>Giá dự thầu sau hiệu chỉnh sai lệch thừa trừ giá trị giảm giá (nếu có)</t>
  </si>
  <si>
    <t>Giá trị ưu đãi (nếu có)</t>
  </si>
  <si>
    <t>Giá dự thầu cuối cùng (đ)</t>
  </si>
  <si>
    <t>Giá dự thầu không tính giảm giá (đ)</t>
  </si>
  <si>
    <t>Giá trị cần thay</t>
  </si>
  <si>
    <t>[[DiaDanh]]</t>
  </si>
  <si>
    <t>[[ChuDauTu_dc]]</t>
  </si>
  <si>
    <t>[[ChuDauTu_tk]]</t>
  </si>
  <si>
    <t>[[ChuDauTu_MST]]</t>
  </si>
  <si>
    <t>[[ChuDauTu_dt]]</t>
  </si>
  <si>
    <t>[[ChuDauTu_fax]]</t>
  </si>
  <si>
    <t>[[ChuDauTu_h]]</t>
  </si>
  <si>
    <t>[[ChuDauTu_cvh]]</t>
  </si>
  <si>
    <t>[[CQ_TD_h]]</t>
  </si>
  <si>
    <t>[[CQ_TD]]</t>
  </si>
  <si>
    <t>[[DonViMuaSam_h]]</t>
  </si>
  <si>
    <t>[[NhaThau_DKKD]]</t>
  </si>
  <si>
    <t>[[NhaThau_MST]]</t>
  </si>
  <si>
    <t>[[SL_NhaThau]]</t>
  </si>
  <si>
    <t>[[TTD_1_cm_nc]]</t>
  </si>
  <si>
    <t>[[TTD_2_cm_nc]]</t>
  </si>
  <si>
    <t>[[TTD_3_cm_nc]]</t>
  </si>
  <si>
    <t>[[ToCGia_1_cc_d]]</t>
  </si>
  <si>
    <t>[[ToCGia_2_cc_d]]</t>
  </si>
  <si>
    <t>[[ToCGia_3_cc_d]]</t>
  </si>
  <si>
    <t>Nhà thầu tham dự</t>
  </si>
  <si>
    <t>[[MuaThem_pt]]</t>
  </si>
  <si>
    <t>[[BDHD_pt]]</t>
  </si>
  <si>
    <t>[[BDDT_Hthuc]]</t>
  </si>
  <si>
    <t>[[CB_HSDT]]</t>
  </si>
  <si>
    <t>Xếp loại</t>
  </si>
  <si>
    <t>KQ</t>
  </si>
  <si>
    <t>Lý do bị loại</t>
  </si>
  <si>
    <t>DS bị loại</t>
  </si>
  <si>
    <t>[[TTD_1_cm_cq]]</t>
  </si>
  <si>
    <t>[[TTD_2_cm_cq]]</t>
  </si>
  <si>
    <t>[[TTD_3_cm_cq]]</t>
  </si>
  <si>
    <t>Địa danh</t>
  </si>
  <si>
    <t>Thành phố Hồ Chí Minh</t>
  </si>
  <si>
    <t>[[ChuDauTu_cv]]</t>
  </si>
  <si>
    <t>Viết hoa</t>
  </si>
  <si>
    <t>[[HD_t]]</t>
  </si>
  <si>
    <t>- Thư ký nhiệm vụ</t>
  </si>
  <si>
    <t>- Kỹ thuật viên, nhân viên hỗ trợ</t>
  </si>
  <si>
    <t>F:\DB\02. Tai Chinh\0. BangChamCong\4. ChamCong_2024</t>
  </si>
  <si>
    <t>[[Danh]]</t>
  </si>
  <si>
    <t>Solved folder</t>
  </si>
  <si>
    <t>Abrasive Blade, &gt;HRC60, 305mm, Chop (10pcs/Hộp)</t>
  </si>
  <si>
    <t>Bi carbid wolfram đường kính 8 mm</t>
  </si>
  <si>
    <t>Bia phún xạ TiN</t>
  </si>
  <si>
    <t>Bộ 5 mũi khoan inox 3-8mm HSS Titanium</t>
  </si>
  <si>
    <t>Bộ cờ lê đầu tròng, đầu mở 14 chiếc 87</t>
  </si>
  <si>
    <t>Bộ dụng cụ cơ khí đa năng</t>
  </si>
  <si>
    <t>Bộ đồ vặn</t>
  </si>
  <si>
    <t>Bộ mũi khoan 19 mũi</t>
  </si>
  <si>
    <t>Bộ mũi khoan đường kính: 12mm</t>
  </si>
  <si>
    <t>Bộ mũi phay nhiều kích cỡ</t>
  </si>
  <si>
    <t>Bộ van khí có điều chỉnh tốc độ dòng đến 1L/min</t>
  </si>
  <si>
    <t>Bồn bảo ôn chịu mặn</t>
  </si>
  <si>
    <t>Bồn nhựa 1000 L</t>
  </si>
  <si>
    <t>Bồn nhựa 300 L</t>
  </si>
  <si>
    <t>Bồn phụ inox 316 40 lít</t>
  </si>
  <si>
    <t>Bột bakelite màu trắng, hộp 1 kg</t>
  </si>
  <si>
    <t>Bột bakellite màu trắng  hộp 1 kg</t>
  </si>
  <si>
    <t>Bột bakellite màu trắng hộp 1 kg</t>
  </si>
  <si>
    <t>Bột đóng mẫu bakelit màu đen</t>
  </si>
  <si>
    <t>Bột đúc mẫu nóng có khả năng dẫn điện Mounting Powder, Graphite-Based Conductive, 0.45 kg</t>
  </si>
  <si>
    <t>Bột đúc mẫu nóng Phenolic Mounting Powder, Black, 5 lbs</t>
  </si>
  <si>
    <t>Bột đúc xanh Dially Phthalatec, hộp 5 lbs</t>
  </si>
  <si>
    <t>Bột nhôm oxit đánh bóng</t>
  </si>
  <si>
    <t>Bơm nước chịu mặn</t>
  </si>
  <si>
    <t>Búa tạ cán gỗ</t>
  </si>
  <si>
    <t>Bulong đai ốc gắn sứ, vật liệu inox 316 kích thước 60x5mm</t>
  </si>
  <si>
    <t>Bulong đai ốc gắn thanh phơi, vật liệu thép inox 316 kích thước 50x8</t>
  </si>
  <si>
    <t>Bulong, đai ốc, vòng đệm</t>
  </si>
  <si>
    <t>Bulông + đai ốc (giá phơi)</t>
  </si>
  <si>
    <t>Cao su 57-5006/ТРП 100-60, tấm dày 2mm</t>
  </si>
  <si>
    <t>Cát oxit nhôm 180 µm</t>
  </si>
  <si>
    <t>Cát oxit nhôm tạo nhám bề mặt, bao 25 kg</t>
  </si>
  <si>
    <t>Cr3C2 20(Ni 20Cr), Agglomerated &amp; Sintered</t>
  </si>
  <si>
    <t>Chất mài kim cương 1 um, loại polycrystalline, 500ml</t>
  </si>
  <si>
    <t>Chất mài kim cương 3 um, loại polycrystalline, 500ml</t>
  </si>
  <si>
    <t>Dây cáp bằng thép đường kính 3 mm, bọc nhựa</t>
  </si>
  <si>
    <t>Dây mài P120</t>
  </si>
  <si>
    <t>Dây mài P320</t>
  </si>
  <si>
    <t>Dây mài P400</t>
  </si>
  <si>
    <t>Dây mài P600</t>
  </si>
  <si>
    <t>Dây mài P80</t>
  </si>
  <si>
    <t>Dây rút buộc mẫu 20cm</t>
  </si>
  <si>
    <t>Dây rút buộc mẫu 25 cm</t>
  </si>
  <si>
    <t>Dây rút, dài 30 cm</t>
  </si>
  <si>
    <t>Dây rút, dài 40 cm</t>
  </si>
  <si>
    <t>Dây rút, dài 50 cm</t>
  </si>
  <si>
    <t>Đá cắt inox, 125x22,2x1mm</t>
  </si>
  <si>
    <t>Đá mài cho máy mài phẳng</t>
  </si>
  <si>
    <t>Đá mài hợp kim 355x30x127 CBN</t>
  </si>
  <si>
    <t>Đá mài máy cầm tay</t>
  </si>
  <si>
    <t>Đá mài trục cơ 660mm</t>
  </si>
  <si>
    <t>Đá mài, Aluminum Oxide, 150 Grit, 14″</t>
  </si>
  <si>
    <t>Đá mài, Aluminum Oxide, 60 Grit, 14″</t>
  </si>
  <si>
    <t>Đá mài, Green Silicon Carbide, 120 Grit, 14″</t>
  </si>
  <si>
    <t>Đá mài, Silicon Carbide, 150 Grit, 14″</t>
  </si>
  <si>
    <t>Đai nhám  Aluminum Oxide Cloth, 180 Grit, 4″ x 36″ Belt (Pk/10)</t>
  </si>
  <si>
    <t>Đai nhám Aluminum Oxide Cloth, 120 Grit, 4″ x 36″ Belt (Pk/10)</t>
  </si>
  <si>
    <t>Đai nhám Aluminum Oxide Cloth, 240 Grit, 4″ x 36″ Belt (Pk/10)</t>
  </si>
  <si>
    <t>Đai nhám Aluminum Oxide Cloth, 320 Grit, 4″ x 36″ Belt (Pk/10)</t>
  </si>
  <si>
    <t>Đai nhám Aluminum Oxide Cloth, 600 Grit, 4″ x 36″ Belt (Pk/10)</t>
  </si>
  <si>
    <t>Đai nhám Aluminum Oxide Cloth, 80 Grit, 4″ x 36″ Belt (Pk/10)</t>
  </si>
  <si>
    <t>Đế dán chà nhám</t>
  </si>
  <si>
    <t>Đĩa cắt kim loại</t>
  </si>
  <si>
    <t>Đĩa cắt mẫu kim tương</t>
  </si>
  <si>
    <t>Đĩa hạt Φ40 P1500</t>
  </si>
  <si>
    <t>Đĩa hỗ trợ dán từ  PTFE Ferromagnetic Support Disc, 8” (203 mm)</t>
  </si>
  <si>
    <t>Đĩa kim cương mài thô Dia-Grid Rigid – Resin Bond, 8"</t>
  </si>
  <si>
    <t>Đĩa mài thô</t>
  </si>
  <si>
    <t>Đĩa mài Φ40 P120</t>
  </si>
  <si>
    <t>Đĩa mài Φ40 P1200</t>
  </si>
  <si>
    <t>Đĩa mài Φ40 P2000</t>
  </si>
  <si>
    <t>Đĩa mài Φ40 P240</t>
  </si>
  <si>
    <t>Đĩa mài Φ40 P320</t>
  </si>
  <si>
    <t>Đĩa mài Φ40 P400</t>
  </si>
  <si>
    <t>Đĩa mài Φ40 P600</t>
  </si>
  <si>
    <t>Đĩa mài Φ40 P800</t>
  </si>
  <si>
    <t>Đĩa mìa Φ40 P1000</t>
  </si>
  <si>
    <t>Đĩa nỉ đánh bóng kim tương</t>
  </si>
  <si>
    <t>Đồng M-1</t>
  </si>
  <si>
    <t>Đồng thau L-63</t>
  </si>
  <si>
    <t>Êtô bàn nguội 6 inch</t>
  </si>
  <si>
    <t>Gel đánh bóng kim tương 1 μm</t>
  </si>
  <si>
    <t>Gel đánh bóng kim tương 2 μm</t>
  </si>
  <si>
    <t>Gel đánh bóng kim tương 5 μm</t>
  </si>
  <si>
    <t>Gel đánh bóng mẫu kim tương lọ 18g</t>
  </si>
  <si>
    <t>Giá đỡ bồn bảo ôn, inox 304L</t>
  </si>
  <si>
    <t>Giá nhúng sản phẩm nhuộm mangan phốt phát</t>
  </si>
  <si>
    <t>Giá phơi mẫu</t>
  </si>
  <si>
    <t>Giá phơi mẫu cho sân phơi trong nhà và sân phơi ngoài trời</t>
  </si>
  <si>
    <t>Giá phơi mẫu cho sân phơi vi sinh, kích thước 1 m x 1 m x 0,7 m</t>
  </si>
  <si>
    <t>Giá phơi mẫu dưới nước kích thước 180 cm x 40 cm</t>
  </si>
  <si>
    <t>Giá phơi mẫu ngoài trời</t>
  </si>
  <si>
    <t>Giá phơi mẫu trong nhà</t>
  </si>
  <si>
    <t>Giá thử nghiệm biển kích thước 45 cm x 210 cm</t>
  </si>
  <si>
    <t>Giấy nhám loại 1000</t>
  </si>
  <si>
    <t>Giấy nhám loại 120</t>
  </si>
  <si>
    <t>Giấy nhám loại 400</t>
  </si>
  <si>
    <t>Giấy nhám loại 800</t>
  </si>
  <si>
    <t>Giấy nhám phẳng độ mịn 1000</t>
  </si>
  <si>
    <t>Giấy nhám vòng dài 100 cm độ mịn 120</t>
  </si>
  <si>
    <t>Giấy nhám vòng dài 100 cm độ mịn 180</t>
  </si>
  <si>
    <t>Giấy nhám vòng dài 100 cm độ mịn 240</t>
  </si>
  <si>
    <t>Giấy nhám vòng dài 100 cm độ mịn 320</t>
  </si>
  <si>
    <t>Giấy nhám vòng dài 100 cm độ mịn 400</t>
  </si>
  <si>
    <t>Giấy nhám vòng dài 100 cm độ mịn 600</t>
  </si>
  <si>
    <t>Giấy nhám vòng dài 100 cm độ mịn 80</t>
  </si>
  <si>
    <t>Inox 304, 100x50x1,5mm</t>
  </si>
  <si>
    <t>Inox 316, 100x50x1,5mm</t>
  </si>
  <si>
    <t>Kéo cắt inox</t>
  </si>
  <si>
    <t>Kéo cắt thép thường</t>
  </si>
  <si>
    <t>Kéo cắt vải</t>
  </si>
  <si>
    <t>Kìm bấm</t>
  </si>
  <si>
    <t>Kìm cắt</t>
  </si>
  <si>
    <t>Kìm cắt dây cáp</t>
  </si>
  <si>
    <t>Kìm điện</t>
  </si>
  <si>
    <t>Kìm kẹp đồ nung</t>
  </si>
  <si>
    <t>Kính bảo hộ</t>
  </si>
  <si>
    <t>Khung chân đỡ dàn Panel Solar</t>
  </si>
  <si>
    <t>Khung giàn bể nhuộm và giá đỡ</t>
  </si>
  <si>
    <t>Khuôn đúc mẫu kim tương Φ20 mm</t>
  </si>
  <si>
    <t>Khuôn đúc mẫu kim tương Φ40 mm</t>
  </si>
  <si>
    <t>Lưỡi cắt kim loại</t>
  </si>
  <si>
    <t>Lưỡi dao phẫu thuật y tế</t>
  </si>
  <si>
    <t>Lưới nhựa, mắt lưới 10x10 mm</t>
  </si>
  <si>
    <t>Màng lọc kỵ nước PTFE, kích thước lỗ 0,22µm</t>
  </si>
  <si>
    <t>Màng lọc kỵ nước PTFE, kích thước lỗ 0,45µm</t>
  </si>
  <si>
    <t>Máy khắc chữ trên kim loại</t>
  </si>
  <si>
    <t>Máy mài cầm tay</t>
  </si>
  <si>
    <t>Máy mài để bàn hai đá</t>
  </si>
  <si>
    <t>Máy phun sơn cầm tay dùng điện</t>
  </si>
  <si>
    <t>Máy sấy cầm tay</t>
  </si>
  <si>
    <t>Mẫu đồng M1</t>
  </si>
  <si>
    <t>Mẫu đồng M1 (100*250*3 mm)</t>
  </si>
  <si>
    <t>Mẫu đồng thau L-63</t>
  </si>
  <si>
    <t>Mẫu đồng thau L-63 (100*250*3 mm)</t>
  </si>
  <si>
    <t>Mẫu gang Сч 20</t>
  </si>
  <si>
    <t>Mẫu gang Сч 20 (100*250*3 mm)</t>
  </si>
  <si>
    <t>Mẫu gang Сч 24-44</t>
  </si>
  <si>
    <t>Mẫu gang Сч 24-44 (100*250*3 mm)</t>
  </si>
  <si>
    <t>Mẫu nhôm  AK7 (100*250*3 mm)</t>
  </si>
  <si>
    <t>Mẫu thép Cт3 (100*250*3 mm)</t>
  </si>
  <si>
    <t>Mẫu thiếc hàn ПОС СУ 30-2</t>
  </si>
  <si>
    <t>Mẫu thiếc hàn ПОС СУ 30-2 (100*250*3 mm)</t>
  </si>
  <si>
    <t>Mo 99.5+, 38/75,Sintered &amp; Crushed</t>
  </si>
  <si>
    <t>Mũ bảo hộ lao động</t>
  </si>
  <si>
    <t>Mũi đo độ cứng Vicker cho máy đo độ cứng HV-1000ZDT</t>
  </si>
  <si>
    <t>Mũi khoan thép</t>
  </si>
  <si>
    <t>Ni 99.3, 150/45, Precipitated</t>
  </si>
  <si>
    <t>Ni5Al, 45/90, Gas Atomized</t>
  </si>
  <si>
    <t>Nước tản nhiệt máy cắt</t>
  </si>
  <si>
    <t>Nhôm АК-7</t>
  </si>
  <si>
    <t>Ống thủy tinh chân không thu nhiệt lõi dầu</t>
  </si>
  <si>
    <t>Phôi thép 25XHBA tròn đặc phi 80 mm</t>
  </si>
  <si>
    <t>Phôi thép 30XH3A tròn đặc phi 80 mm</t>
  </si>
  <si>
    <t>Phôi thép 440C 500*500*3mm</t>
  </si>
  <si>
    <t>Phôi thép C50 tròn đặc phi 80 mm</t>
  </si>
  <si>
    <t>Quạt thổi khí</t>
  </si>
  <si>
    <t>Quần áo bảo hộ</t>
  </si>
  <si>
    <t>Sàng rây phân tích thí nghiệm Inox 304 cao cấp, 8’’, lỗ 0.02 mm (635 mesh)</t>
  </si>
  <si>
    <t>Sàng rây phân tích thí nghiệm inox 304 cao cấp, 8’’, lỗ 0.106 mm (140 mesh)</t>
  </si>
  <si>
    <t>Sàng rây phân tích thí nghiệm inox 304 cao cấp,8’’, lỗ 0.045mm (325 mesh)</t>
  </si>
  <si>
    <t>Si 99.5+, 15/45, Plasma Densified</t>
  </si>
  <si>
    <t>Silicon Carbide Paper, 120 Grit, 8″ Adhesive Back Disc (Pk/100)</t>
  </si>
  <si>
    <t>Silicon Carbide Paper, 1200 (P-4000) Grit, 8″ Adhesive Back Disc (Pk/100)</t>
  </si>
  <si>
    <t>Silicon Carbide Paper, 180 Grit, 8″ Adhesive Back Disc (Pk/100)</t>
  </si>
  <si>
    <t>Silicon Carbide Paper, 240 Grit, 8″ Adhesive Back Disc (Pk/100)</t>
  </si>
  <si>
    <t>Silicon Carbide Paper, 320 Grit, 8″ Adhesive Back Disc (Pk/100)</t>
  </si>
  <si>
    <t>Silicon Carbide Paper, 400 Grit, 8″ Adhesive Back Disc (Pk/100)</t>
  </si>
  <si>
    <t>Silicon Carbide Paper, 60 Grit, 8″ Adhesive Back Disc (Pk/100)</t>
  </si>
  <si>
    <t>Silicon Carbide Paper, 600 Fine Grit, 8″ Adhesive Back Disc (Pk/100)</t>
  </si>
  <si>
    <t>Silicon Carbide Paper, 80 Grit, 8″ Adhesive Back Disc (Pk/100), USA</t>
  </si>
  <si>
    <t>Silicon Carbide Paper, 800 (P-2400) Grit, 8″ Adhesive Back Disc (Pk/100)</t>
  </si>
  <si>
    <t>Súng bắn cát khí nén</t>
  </si>
  <si>
    <t>Tấm nhựa polyamid</t>
  </si>
  <si>
    <t>Tấm Pin Năng Lượng Mặt Trời 385W</t>
  </si>
  <si>
    <t>Tờ nhám dán P1000 máy mài cầm tay</t>
  </si>
  <si>
    <t>Tủ phơi mẫu trong nhà</t>
  </si>
  <si>
    <t>Túi Ziplock 20x30 cm</t>
  </si>
  <si>
    <t>Túi Ziplock 25x35 cm</t>
  </si>
  <si>
    <t>Túi Ziplock 6x8cm</t>
  </si>
  <si>
    <t>Tuýp mài kim cương loại 1 um, 5 Gram</t>
  </si>
  <si>
    <t>Tuýp mài kim cương loại 3 um, 5 Gram</t>
  </si>
  <si>
    <t>Thanh ngang cho giá phơi mẫu 1,2 m</t>
  </si>
  <si>
    <t>Thanh ngang cho giá phơi mẫu 2,3m</t>
  </si>
  <si>
    <t>Thép 25XHBA tấm 150x100x1 mm</t>
  </si>
  <si>
    <t>Thép 30XH3A tấm 150x100x1 mm</t>
  </si>
  <si>
    <t>Thép C50 tấm 150x100x1 mm</t>
  </si>
  <si>
    <t>Thép Ct.3</t>
  </si>
  <si>
    <t>Thép Ct.3 50x100x3mm</t>
  </si>
  <si>
    <t>Thép tròn đặc phi 70, 45Г</t>
  </si>
  <si>
    <t>Thép xốp không gỉ, độ xốp 45%, 100x200x3mm</t>
  </si>
  <si>
    <t>Thép xốp không gỉ, độ xốp 50%, 100x200x3mm</t>
  </si>
  <si>
    <t>Thùng chứa bằng nhựa chịu hoá chất 50l</t>
  </si>
  <si>
    <t>Thùng inox 1,2 x 0,6 x 0,8 m dày 3 mm</t>
  </si>
  <si>
    <t>Thùng nhựa đựng mẫu</t>
  </si>
  <si>
    <t>Vải đánh bóng kỹ thuật PoliCloth 10", mã 40-8420, 10 miếng/hộp</t>
  </si>
  <si>
    <t>Vải lau cotton</t>
  </si>
  <si>
    <t>Vải sợi cotton</t>
  </si>
  <si>
    <t>Van điều áp khí argon</t>
  </si>
  <si>
    <t>Van điều áp khí nitơ</t>
  </si>
  <si>
    <t>Van khí điều chỉnh tốc độ dòng đến 100ml/min</t>
  </si>
  <si>
    <t>WC 12Co, APS, 15/45, Agglomerated &amp; Sintered</t>
  </si>
  <si>
    <t>Áo blu</t>
  </si>
  <si>
    <t>Áo phao cứu hộ</t>
  </si>
  <si>
    <t>Bàn chải</t>
  </si>
  <si>
    <t>Bàn chải cọ đồng</t>
  </si>
  <si>
    <t>Bàn chải mềm</t>
  </si>
  <si>
    <t>Bình cầu 1 L</t>
  </si>
  <si>
    <t>Bình cầu 2 L</t>
  </si>
  <si>
    <t>Bình cầu đáy tròn 250 ml</t>
  </si>
  <si>
    <t>Bình Desicactor 10 L</t>
  </si>
  <si>
    <t>Bình Desicactor 5.8 L</t>
  </si>
  <si>
    <t>Bình đáy bằng 1 L</t>
  </si>
  <si>
    <t>Bình đáy bằng 2 L</t>
  </si>
  <si>
    <t>Bình đo tỷ trọng dung tích 10ml có gắn nhiệt kế DIN 12 80</t>
  </si>
  <si>
    <t>Bình hút ẩm Desiccactor không vòi 5,8l</t>
  </si>
  <si>
    <t>Bình hút ẩm Desiccator</t>
  </si>
  <si>
    <t>Bình không khí sạch 40L</t>
  </si>
  <si>
    <t>Bình phản ứng đáy bằng 2 cổ 1 L</t>
  </si>
  <si>
    <t>Bình phản ứng đáy bằng 2 cổ 2 L</t>
  </si>
  <si>
    <t>Bình tam giác 0.25 L</t>
  </si>
  <si>
    <t>Bình thủy tinh có nắp đậy 3 cổ nhám</t>
  </si>
  <si>
    <t>Bộ đo pH, nhiệt độ</t>
  </si>
  <si>
    <t>Buret 25 ml</t>
  </si>
  <si>
    <t>Can nhựa 20L</t>
  </si>
  <si>
    <t>Can nhựa 5L</t>
  </si>
  <si>
    <t>Cốc đong 250 ml</t>
  </si>
  <si>
    <t>Cốc đong bằng nhựa 200ml</t>
  </si>
  <si>
    <t>Cốc đong bằng nhựa 500ml</t>
  </si>
  <si>
    <t>Cốc đong bằng nhựa 50ml</t>
  </si>
  <si>
    <t>Cốc thủy tinh 0,5 lít</t>
  </si>
  <si>
    <t>Cốc thủy tinh 0.5 L</t>
  </si>
  <si>
    <t>Cốc thủy tinh 0.5L</t>
  </si>
  <si>
    <t>Cốc thủy tinh 1 L</t>
  </si>
  <si>
    <t>Cốc thủy tinh 1 lít</t>
  </si>
  <si>
    <t>Cốc thủy tinh 2 L</t>
  </si>
  <si>
    <t>Cốc thủy tinh 250ml</t>
  </si>
  <si>
    <t>Cốc thủy tinh 500ml</t>
  </si>
  <si>
    <t>Chai thủy tinh 0.5L</t>
  </si>
  <si>
    <t>Chai thủy tinh trung tính 1L</t>
  </si>
  <si>
    <t>Chai thủy tinh trung tính 2L</t>
  </si>
  <si>
    <t>Đĩa Petri</t>
  </si>
  <si>
    <t>Găng tay cao su hóa chất</t>
  </si>
  <si>
    <t>Găng tay cao su không bột Nitrile size L</t>
  </si>
  <si>
    <t>Găng tay cao su không bột Nitrile size M</t>
  </si>
  <si>
    <t>Găng tay chịu nhiệt</t>
  </si>
  <si>
    <t>Găng tay vải 1 lớp size L</t>
  </si>
  <si>
    <t>Găng tay vải 1 lớp size XL</t>
  </si>
  <si>
    <t>Găng tay vải 2 lớp size L</t>
  </si>
  <si>
    <t>Găng tay vải 2 lớp size XL</t>
  </si>
  <si>
    <t>Găng tay y tế</t>
  </si>
  <si>
    <t>Giấy lọc 11µm đường kính 25 mm</t>
  </si>
  <si>
    <t>Giấy lọc 25mm x 25mm</t>
  </si>
  <si>
    <t>Giấy lọc đường kính 185 mm</t>
  </si>
  <si>
    <t>Giấy thấm</t>
  </si>
  <si>
    <t>Khẩu trang</t>
  </si>
  <si>
    <t>Khẩu trang chống bụi</t>
  </si>
  <si>
    <t>Khẩu trang kháng khuẩn 4 lớp</t>
  </si>
  <si>
    <t>Khẩu trang than hoạt tính</t>
  </si>
  <si>
    <t>Khẩu trang y tế 3 lớp</t>
  </si>
  <si>
    <t>Nhiệt kế 360oC</t>
  </si>
  <si>
    <t>Nhiệt kế thủy ngân</t>
  </si>
  <si>
    <t>Nhíp inox 14cm kẹp mẫu</t>
  </si>
  <si>
    <t>Ống đong 100ml</t>
  </si>
  <si>
    <t>Ống đong 200ml</t>
  </si>
  <si>
    <t>Ống làm sạch không khí ГФП-20-ПОР40</t>
  </si>
  <si>
    <t>Panh cặp</t>
  </si>
  <si>
    <t>Parafilm</t>
  </si>
  <si>
    <t>Pipet thẳng 5ml</t>
  </si>
  <si>
    <t>Quả bóp cao su 3 van</t>
  </si>
  <si>
    <t>Sinh hàn thẳng</t>
  </si>
  <si>
    <t>Thước đo góc có bọt nước</t>
  </si>
  <si>
    <t>Vòi hứng chưng cất</t>
  </si>
  <si>
    <t>24VDC/850VA/600W/220VAC/50Hz</t>
  </si>
  <si>
    <t>Ắc quy kín khí 12VDC/100Ah</t>
  </si>
  <si>
    <t>Bộ điều khiển động cơ</t>
  </si>
  <si>
    <t>Bộ điều khiển khả trình PLC</t>
  </si>
  <si>
    <t>Bộ điều khiển lập trình PLC</t>
  </si>
  <si>
    <t>Bộ điều khiển nhiệt độ PID</t>
  </si>
  <si>
    <t>Bộ gia nhiệt</t>
  </si>
  <si>
    <t>Bút thử điện</t>
  </si>
  <si>
    <t>Dây điện</t>
  </si>
  <si>
    <t>Driver 30Nm</t>
  </si>
  <si>
    <t>Điện cực đồng</t>
  </si>
  <si>
    <t>Động cơ bước</t>
  </si>
  <si>
    <t>Động cơ bước 30Nm</t>
  </si>
  <si>
    <t>Hộp điện kỹ thuật</t>
  </si>
  <si>
    <t>Nguồn điện một chiều</t>
  </si>
  <si>
    <t>Ổ cắm điện</t>
  </si>
  <si>
    <t>Phích cắm</t>
  </si>
  <si>
    <t>Sạc solar (Solar regulator) 24V/20A</t>
  </si>
  <si>
    <t>Tủ điện điều khiển</t>
  </si>
  <si>
    <t>1,1,1,3,3,3-Hexafluoroisopropyl Methacrylate, lọ 5g</t>
  </si>
  <si>
    <t>1,2,3-Benzotriazole</t>
  </si>
  <si>
    <t>2,2,2-Trifluoroethyl methacrylate, 99%, lọ 25g</t>
  </si>
  <si>
    <t>2,2,3,3,4,4,4-Heptafluorobutyl methacrylate, lọ 5g</t>
  </si>
  <si>
    <t>2-Mercaptobenzothiazole</t>
  </si>
  <si>
    <t>5-methyl-1H-benzotriazole</t>
  </si>
  <si>
    <t>Aceton</t>
  </si>
  <si>
    <t>Acid axetic</t>
  </si>
  <si>
    <t>Acid citric</t>
  </si>
  <si>
    <t>Acid Lactic</t>
  </si>
  <si>
    <t>Agar</t>
  </si>
  <si>
    <t>AgNO3</t>
  </si>
  <si>
    <t>alpha-linolenic acid</t>
  </si>
  <si>
    <t>Ammonium persulfate, chai 100g</t>
  </si>
  <si>
    <t>Amoni citrat</t>
  </si>
  <si>
    <t>Axit 2-Aminoethanesulfonic (Taurine)</t>
  </si>
  <si>
    <t>Axit 2-Phosphonobutane-1,2,4-tricarboxylic</t>
  </si>
  <si>
    <t>Axit acetic</t>
  </si>
  <si>
    <t>Axit cis-Aconitic</t>
  </si>
  <si>
    <t>Axit Citric</t>
  </si>
  <si>
    <t>Axit chlohydric</t>
  </si>
  <si>
    <t>Axit hydrocloride</t>
  </si>
  <si>
    <t>Axit Maleic</t>
  </si>
  <si>
    <t>Axit nitric</t>
  </si>
  <si>
    <t>Axit p-nitrobenzoic</t>
  </si>
  <si>
    <t>Axit Photphoric</t>
  </si>
  <si>
    <t xml:space="preserve">Axit Photphoric
</t>
  </si>
  <si>
    <t>Axit sulfuric</t>
  </si>
  <si>
    <t>Axit sunfuric đậm đặc 98%</t>
  </si>
  <si>
    <t>Benzotriazole</t>
  </si>
  <si>
    <t>Bình xịt bảo vệ cọc bình acquy</t>
  </si>
  <si>
    <t>Bình xịt bảo vệ ron cao su</t>
  </si>
  <si>
    <t>Boric acid</t>
  </si>
  <si>
    <t>Bộ đổi điện Inverter AC-DC</t>
  </si>
  <si>
    <t>Bột talc</t>
  </si>
  <si>
    <t>Butanol-1</t>
  </si>
  <si>
    <t>Ca(NO3)2·4H2O</t>
  </si>
  <si>
    <t>Calcium hydroxide, lọ 500g, độ tinh khiết 96%</t>
  </si>
  <si>
    <t>Canxi cacbonat</t>
  </si>
  <si>
    <t>Cetyl trimethyl ammonium bromide</t>
  </si>
  <si>
    <t>Citric acid</t>
  </si>
  <si>
    <t>Clorofom</t>
  </si>
  <si>
    <t>Chất chống tạo bọt Софэксил-310</t>
  </si>
  <si>
    <t>Chất chuẩn 2-mercaptobenzothiazole</t>
  </si>
  <si>
    <t>Chất chuẩn 5-methyl-1H-benzotriazole</t>
  </si>
  <si>
    <t>Chất chuẩn Axit hydrocloride 1N</t>
  </si>
  <si>
    <t>Chất chuẩn Axit nitric 0,1N</t>
  </si>
  <si>
    <t>Chất chuẩn Axit nitric, 2.0N</t>
  </si>
  <si>
    <t>Chất chuẩn Dodecanoic acid</t>
  </si>
  <si>
    <t>Chất chuẩn đồng 0,05M</t>
  </si>
  <si>
    <t>Chất chuẩn EDTA 0,05M</t>
  </si>
  <si>
    <t>Chất chuẩn ethylene glycol</t>
  </si>
  <si>
    <t>Chất chuẩn HCl 0,1N</t>
  </si>
  <si>
    <t>Chất chuẩn kẽm 0,05M</t>
  </si>
  <si>
    <t>Chất chuẩn magie 0,05M</t>
  </si>
  <si>
    <t>Chất chuẩn NaOH 0,1 N</t>
  </si>
  <si>
    <t>Chất chuẩn Natri oleat</t>
  </si>
  <si>
    <t>Chất chuẩn Octanoic acid</t>
  </si>
  <si>
    <t>Chất chuẩn p-nitrobenzoic acid</t>
  </si>
  <si>
    <t>Chất chuẩn Triethanolamine</t>
  </si>
  <si>
    <t>Chất đóng rắn cho sơn inox chịu mặn</t>
  </si>
  <si>
    <t>Chất hoạt động bề mặt Pluronic L-61</t>
  </si>
  <si>
    <t>Chất khơi mào AIBN,  chai 100 gram</t>
  </si>
  <si>
    <t>Dầu cắt gọt chống gỉ</t>
  </si>
  <si>
    <t>Dầu chống gỉ</t>
  </si>
  <si>
    <t>Dầu dừa</t>
  </si>
  <si>
    <t>Dầu đậu nành</t>
  </si>
  <si>
    <t>Dầu hạt cải</t>
  </si>
  <si>
    <t>Dầu hướng dương</t>
  </si>
  <si>
    <t>Dầu khoáng BS150</t>
  </si>
  <si>
    <t>Dầu khoáng I20A</t>
  </si>
  <si>
    <t>Dầu khoáng SN150</t>
  </si>
  <si>
    <t>Dầu khoáng SN70</t>
  </si>
  <si>
    <t>Dầu nhiệt luyện</t>
  </si>
  <si>
    <t>Dextrin</t>
  </si>
  <si>
    <t>Dichloromethan</t>
  </si>
  <si>
    <t>Diethanolamin</t>
  </si>
  <si>
    <t>Diethanolamine</t>
  </si>
  <si>
    <t>Diethyl ether</t>
  </si>
  <si>
    <t>Diethylether, 99%</t>
  </si>
  <si>
    <t>Dimethyl formamide</t>
  </si>
  <si>
    <t>Dioxan</t>
  </si>
  <si>
    <t>DMSO-d6</t>
  </si>
  <si>
    <t>Dung dịch lau len kính hiển vi kim tương</t>
  </si>
  <si>
    <t>Dung môi (CD3)2CO</t>
  </si>
  <si>
    <t>Dung môi Cloroform-d CDCl3</t>
  </si>
  <si>
    <t>Dung môi DMSO-d6</t>
  </si>
  <si>
    <t>EDTA</t>
  </si>
  <si>
    <t>Ethanol</t>
  </si>
  <si>
    <t>Ethanol 95%</t>
  </si>
  <si>
    <t>Ethanol 96%</t>
  </si>
  <si>
    <t>Ethanol, 98%</t>
  </si>
  <si>
    <t>Ethyl acetate</t>
  </si>
  <si>
    <t>Ethylene glycol</t>
  </si>
  <si>
    <t>Ethylenediaminetetraacetic acid disodium salt dihydrate</t>
  </si>
  <si>
    <t>Glucose</t>
  </si>
  <si>
    <t>Glycerin</t>
  </si>
  <si>
    <t>Glycerine</t>
  </si>
  <si>
    <t>Glycidyl Methacrylate 97%, 100ppm, chai 500ml</t>
  </si>
  <si>
    <t>Giấy lọc</t>
  </si>
  <si>
    <t>HCl</t>
  </si>
  <si>
    <t>Hexamethylenetetramine  hộp 500 g</t>
  </si>
  <si>
    <t>Hexane</t>
  </si>
  <si>
    <t>Hexyl methacrylate, chai 1 kg</t>
  </si>
  <si>
    <t>Hóa chất chống thoát cacbon</t>
  </si>
  <si>
    <t>Hóa chất định hình mangan phốt phát hóa</t>
  </si>
  <si>
    <t>Hóa chất mangan phốt phát hóa</t>
  </si>
  <si>
    <t>Hóa chất tạo màu đỏ Allura Red AC</t>
  </si>
  <si>
    <t>Hóa chất tạo màu vàng Metanil yellow</t>
  </si>
  <si>
    <t>Hóa chất tẩy dầu can 25 kg/can</t>
  </si>
  <si>
    <t>Indoxyl acetate</t>
  </si>
  <si>
    <t>Indoxyl β-D-glucoside</t>
  </si>
  <si>
    <t>Iso-propanol</t>
  </si>
  <si>
    <t>Isopropanol chai 5 lit</t>
  </si>
  <si>
    <t>K2Cr2O7</t>
  </si>
  <si>
    <t>K2HPO4</t>
  </si>
  <si>
    <t>KAl(SO4)2·12H2O</t>
  </si>
  <si>
    <t>Kali Dicromat, K2Cr2O7</t>
  </si>
  <si>
    <t>Kẽm hạt</t>
  </si>
  <si>
    <t>Keo thử độ bền bám dính lớp phủ</t>
  </si>
  <si>
    <t>KH2PO4</t>
  </si>
  <si>
    <t>Khăn lau</t>
  </si>
  <si>
    <t>Khí Argon 99,995%</t>
  </si>
  <si>
    <t>Khí Argon 99,999%</t>
  </si>
  <si>
    <t>Khí hydro đóng bình</t>
  </si>
  <si>
    <t>Khí nitơ đóng bình</t>
  </si>
  <si>
    <t>Lauryl methacrylate, 96%, 500ppm, chai 500ml</t>
  </si>
  <si>
    <t>Linoleic acid</t>
  </si>
  <si>
    <t>Lọ nhựa 100 ml</t>
  </si>
  <si>
    <t>Magnesium carbonate</t>
  </si>
  <si>
    <t>Màng lọc kỵ nước PVDF, kích thước lỗ 0,22µm</t>
  </si>
  <si>
    <t>Màng lọc kỵ nước PVDF, kích thước lỗ 0,45µm</t>
  </si>
  <si>
    <t>Màng phủ nano cách điện EFELE AC-500 Spray</t>
  </si>
  <si>
    <t>Methanol 2,5 lít/chai, 99%</t>
  </si>
  <si>
    <t>Methyl orange</t>
  </si>
  <si>
    <t>Methyl red</t>
  </si>
  <si>
    <t>Methylethylketon, chai 1 lít</t>
  </si>
  <si>
    <t>MgSO4.7H2O</t>
  </si>
  <si>
    <t>Monoethanolamine</t>
  </si>
  <si>
    <t>Mỡ bôi trơn chịu nhiệt 200 g/hộp</t>
  </si>
  <si>
    <t>Mỡ chịu mặn</t>
  </si>
  <si>
    <t>Mỡ silicon kị nước</t>
  </si>
  <si>
    <t>n- Hexane</t>
  </si>
  <si>
    <t>Na2HPO4</t>
  </si>
  <si>
    <t>Na2SO4</t>
  </si>
  <si>
    <t>NaH2PO4</t>
  </si>
  <si>
    <t>NaOH 0,1N</t>
  </si>
  <si>
    <t>NaOH 50%  chai 1 lit</t>
  </si>
  <si>
    <t>Natri benzoat</t>
  </si>
  <si>
    <t>Sodium chloride</t>
  </si>
  <si>
    <t>Natri clorua 99,0% 250g</t>
  </si>
  <si>
    <t>Natri clorua 99,5%, lọ 1kg</t>
  </si>
  <si>
    <t>Natri hydrophotphat</t>
  </si>
  <si>
    <t>Natri hydroxit</t>
  </si>
  <si>
    <t>Natri oleate</t>
  </si>
  <si>
    <t>n-Heptan</t>
  </si>
  <si>
    <t>n-Hexan</t>
  </si>
  <si>
    <t>n-Hexane</t>
  </si>
  <si>
    <t>Nước cất  5 lít/can</t>
  </si>
  <si>
    <t>Nước làm mát Tosol ОЖ-30</t>
  </si>
  <si>
    <t>Octanoic acid</t>
  </si>
  <si>
    <t>Olecic acid</t>
  </si>
  <si>
    <t>Oxalic acid dihydrate</t>
  </si>
  <si>
    <t>Pepton</t>
  </si>
  <si>
    <t>Poly(vinyl alcohol) (PVA)</t>
  </si>
  <si>
    <t>Potassium Iode</t>
  </si>
  <si>
    <t>Rutaecarpine</t>
  </si>
  <si>
    <t>Silicagel 60</t>
  </si>
  <si>
    <t>Silicagel hút ẩm 1000g</t>
  </si>
  <si>
    <t>Silicone gel, chai 100g</t>
  </si>
  <si>
    <t>Sodium dodecyl sulfate, chai 1kg</t>
  </si>
  <si>
    <t>Sodium phosphate monobasic</t>
  </si>
  <si>
    <t>Sodium tetraborate</t>
  </si>
  <si>
    <t>Sơn chống thoát cacbon, can 10 kg</t>
  </si>
  <si>
    <t>Sơn kẽm màu bạc</t>
  </si>
  <si>
    <t>Sơn kẽm màu trắng</t>
  </si>
  <si>
    <t>Stearic acid</t>
  </si>
  <si>
    <t>Stearyl methacrylate, chai 1 lít</t>
  </si>
  <si>
    <t>Sulfuric acid 95-98%1l</t>
  </si>
  <si>
    <t>Sứ cách điện dùng gá mẫu</t>
  </si>
  <si>
    <t>Synthanol DS-10</t>
  </si>
  <si>
    <t>Tetrachloroethylene 99%, chai 2,5lit</t>
  </si>
  <si>
    <t>Tím tinh thể</t>
  </si>
  <si>
    <t>Tinh dầu sả</t>
  </si>
  <si>
    <t>Toluene</t>
  </si>
  <si>
    <t>Tolyltriazole</t>
  </si>
  <si>
    <t>Triethanol amine</t>
  </si>
  <si>
    <t>Triethanolamine</t>
  </si>
  <si>
    <t>Tryptanthrin</t>
  </si>
  <si>
    <t>Undecylenic acid</t>
  </si>
  <si>
    <t>Urotropin</t>
  </si>
  <si>
    <t>Urotropin 99.0%</t>
  </si>
  <si>
    <t>Urotropine</t>
  </si>
  <si>
    <t>Xà phòng rửa</t>
  </si>
  <si>
    <t>Xanh brilliant</t>
  </si>
  <si>
    <t>Xăng thơm pha sơn</t>
  </si>
  <si>
    <t>ZnO</t>
  </si>
  <si>
    <t>Тhiourea</t>
  </si>
  <si>
    <t xml:space="preserve">103009P </t>
  </si>
  <si>
    <t>BI-222</t>
  </si>
  <si>
    <t>EJUTINX253K4</t>
  </si>
  <si>
    <t>2410.805Ti</t>
  </si>
  <si>
    <t>87-036</t>
  </si>
  <si>
    <t>630002</t>
  </si>
  <si>
    <t>D-29941</t>
  </si>
  <si>
    <t>EMC54</t>
  </si>
  <si>
    <t>PPR-20TD</t>
  </si>
  <si>
    <t>BN4L-1000</t>
  </si>
  <si>
    <t>BN4L-300</t>
  </si>
  <si>
    <t>BP-40</t>
  </si>
  <si>
    <t>9003-35-4</t>
  </si>
  <si>
    <t>PF2A2-141J</t>
  </si>
  <si>
    <t>M125</t>
  </si>
  <si>
    <t>M126</t>
  </si>
  <si>
    <t>M130</t>
  </si>
  <si>
    <t>1824</t>
  </si>
  <si>
    <t>PU-S400E</t>
  </si>
  <si>
    <t>25130</t>
  </si>
  <si>
    <t>DIAMALLOY 3007</t>
  </si>
  <si>
    <t>M281-16</t>
  </si>
  <si>
    <t>M282-16</t>
  </si>
  <si>
    <t>TLS-R-20</t>
  </si>
  <si>
    <t>TLS-R-25</t>
  </si>
  <si>
    <t>TLS-R-30</t>
  </si>
  <si>
    <t>TLS-R-40</t>
  </si>
  <si>
    <t>TLS-R-50</t>
  </si>
  <si>
    <t>2608600549</t>
  </si>
  <si>
    <t>DABO-100MM</t>
  </si>
  <si>
    <t>M101-180</t>
  </si>
  <si>
    <t>M101-120</t>
  </si>
  <si>
    <t>M101-240</t>
  </si>
  <si>
    <t>M101-320</t>
  </si>
  <si>
    <t>M101-600</t>
  </si>
  <si>
    <t>M101-80</t>
  </si>
  <si>
    <t>D58689</t>
  </si>
  <si>
    <t>DC12200</t>
  </si>
  <si>
    <t>821</t>
  </si>
  <si>
    <t>Abrasive Cut-off</t>
  </si>
  <si>
    <t>55-52000</t>
  </si>
  <si>
    <t>50-70805M</t>
  </si>
  <si>
    <t>2608600266</t>
  </si>
  <si>
    <t>TAC2231001SA</t>
  </si>
  <si>
    <t>M1-02</t>
  </si>
  <si>
    <t>M1-500</t>
  </si>
  <si>
    <t>JI63-02</t>
  </si>
  <si>
    <t>AK-0669</t>
  </si>
  <si>
    <t>332166</t>
  </si>
  <si>
    <t>332627</t>
  </si>
  <si>
    <t>333108</t>
  </si>
  <si>
    <t xml:space="preserve">180-800 </t>
  </si>
  <si>
    <t>GI300</t>
  </si>
  <si>
    <t>GN272</t>
  </si>
  <si>
    <t>P1000</t>
  </si>
  <si>
    <t>P120</t>
  </si>
  <si>
    <t>P400</t>
  </si>
  <si>
    <t>P800</t>
  </si>
  <si>
    <t>KP1000</t>
  </si>
  <si>
    <t>84-027</t>
  </si>
  <si>
    <t>KC99</t>
  </si>
  <si>
    <t>AK-8183</t>
  </si>
  <si>
    <t>84-035</t>
  </si>
  <si>
    <t>KĐTT</t>
  </si>
  <si>
    <t>KK32</t>
  </si>
  <si>
    <t>SF401AF</t>
  </si>
  <si>
    <t>KG-150</t>
  </si>
  <si>
    <t>48434</t>
  </si>
  <si>
    <t>XQ-2B-20</t>
  </si>
  <si>
    <t>XQ-2B-40</t>
  </si>
  <si>
    <t>A-87242</t>
  </si>
  <si>
    <t>SP000039</t>
  </si>
  <si>
    <t>PTFE-22</t>
  </si>
  <si>
    <t>PTFE-45</t>
  </si>
  <si>
    <t>MKC-16</t>
  </si>
  <si>
    <t>9558HN</t>
  </si>
  <si>
    <t>GBG 35-15</t>
  </si>
  <si>
    <t>TH-8623- 2000W</t>
  </si>
  <si>
    <t>Amdry 313X</t>
  </si>
  <si>
    <t>H701V</t>
  </si>
  <si>
    <t>HV-T-30</t>
  </si>
  <si>
    <t>Metco 56C-NS</t>
  </si>
  <si>
    <t>METCO 450NS</t>
  </si>
  <si>
    <t>812-542</t>
  </si>
  <si>
    <t>AK-7</t>
  </si>
  <si>
    <t>OD58</t>
  </si>
  <si>
    <t>25XHBA</t>
  </si>
  <si>
    <t>30XH3A</t>
  </si>
  <si>
    <t>SUS440C-P1</t>
  </si>
  <si>
    <t xml:space="preserve"> C50</t>
  </si>
  <si>
    <t>MAC150RII</t>
  </si>
  <si>
    <t>Metco 4811</t>
  </si>
  <si>
    <t>M112-120</t>
  </si>
  <si>
    <t>M112-1200</t>
  </si>
  <si>
    <t>M112-180</t>
  </si>
  <si>
    <t>M112-240</t>
  </si>
  <si>
    <t>M112-320</t>
  </si>
  <si>
    <t>M112-400</t>
  </si>
  <si>
    <t>M112-60</t>
  </si>
  <si>
    <t>M112-600</t>
  </si>
  <si>
    <t>M112-80</t>
  </si>
  <si>
    <t>M112-800</t>
  </si>
  <si>
    <t>SSP 1000</t>
  </si>
  <si>
    <t>Mono-SP-385</t>
  </si>
  <si>
    <t>P585</t>
  </si>
  <si>
    <t>90-21075</t>
  </si>
  <si>
    <t>90-21080</t>
  </si>
  <si>
    <t xml:space="preserve">- </t>
  </si>
  <si>
    <t>25XHBA-15</t>
  </si>
  <si>
    <t>30XH3A-15</t>
  </si>
  <si>
    <t xml:space="preserve"> C50-15</t>
  </si>
  <si>
    <t>CT3-500</t>
  </si>
  <si>
    <t>TT-009</t>
  </si>
  <si>
    <t>40-8420</t>
  </si>
  <si>
    <t>195-FM</t>
  </si>
  <si>
    <t>YQD-370</t>
  </si>
  <si>
    <t>METCO 71NS</t>
  </si>
  <si>
    <t>Blu-OEM</t>
  </si>
  <si>
    <t>16376</t>
  </si>
  <si>
    <t>BCPH</t>
  </si>
  <si>
    <t>241703702</t>
  </si>
  <si>
    <t>247816107</t>
  </si>
  <si>
    <t>2723000</t>
  </si>
  <si>
    <t>8200M</t>
  </si>
  <si>
    <t xml:space="preserve"> CN-5L</t>
  </si>
  <si>
    <t>213904403</t>
  </si>
  <si>
    <t>211075409</t>
  </si>
  <si>
    <t>211065408</t>
  </si>
  <si>
    <t>211076302</t>
  </si>
  <si>
    <t>ISO60190</t>
  </si>
  <si>
    <t>218015406</t>
  </si>
  <si>
    <t>218016308</t>
  </si>
  <si>
    <t>237555904</t>
  </si>
  <si>
    <t>Ammex -L</t>
  </si>
  <si>
    <t>HTC</t>
  </si>
  <si>
    <t>710484288</t>
  </si>
  <si>
    <t>NFRR 15-34</t>
  </si>
  <si>
    <t>TK4</t>
  </si>
  <si>
    <t>TK1</t>
  </si>
  <si>
    <t>TK3</t>
  </si>
  <si>
    <t>TK2</t>
  </si>
  <si>
    <t>GT-33</t>
  </si>
  <si>
    <t xml:space="preserve"> Vglove</t>
  </si>
  <si>
    <t xml:space="preserve">1001-325 </t>
  </si>
  <si>
    <t>1820-025</t>
  </si>
  <si>
    <t>1001-185</t>
  </si>
  <si>
    <t>6018-4657-100S</t>
  </si>
  <si>
    <t>KT NeoShield-2c</t>
  </si>
  <si>
    <t>NSH</t>
  </si>
  <si>
    <t>2771564</t>
  </si>
  <si>
    <t>DC1340</t>
  </si>
  <si>
    <t>213962408</t>
  </si>
  <si>
    <t>212-0036</t>
  </si>
  <si>
    <t>233472308</t>
  </si>
  <si>
    <t>9910103</t>
  </si>
  <si>
    <t>TĐ-GN</t>
  </si>
  <si>
    <t>614</t>
  </si>
  <si>
    <t>TPK12100A</t>
  </si>
  <si>
    <t>DM860</t>
  </si>
  <si>
    <t>CP1E-E40SDR-A</t>
  </si>
  <si>
    <t>DX2-KMWNR</t>
  </si>
  <si>
    <t>BGN-67</t>
  </si>
  <si>
    <t>66-119-6F5N</t>
  </si>
  <si>
    <t>Fa 2x2.5Daphaco</t>
  </si>
  <si>
    <t>2M2282</t>
  </si>
  <si>
    <t>H874</t>
  </si>
  <si>
    <t xml:space="preserve"> HS000441</t>
  </si>
  <si>
    <t>5522</t>
  </si>
  <si>
    <t>QJ3003EIII</t>
  </si>
  <si>
    <t xml:space="preserve">ĐQ 002A-02 </t>
  </si>
  <si>
    <t>ĐQ EPR XD-614-C</t>
  </si>
  <si>
    <t>PWM 12V-600W</t>
  </si>
  <si>
    <t>TDK-CM100</t>
  </si>
  <si>
    <t>367664-5G</t>
  </si>
  <si>
    <t>373761-25G</t>
  </si>
  <si>
    <t>444006-5G</t>
  </si>
  <si>
    <t>M3302-1KG</t>
  </si>
  <si>
    <t>24201-2.5L-R</t>
  </si>
  <si>
    <t xml:space="preserve">270725-2.5L </t>
  </si>
  <si>
    <t xml:space="preserve"> 67-64-1</t>
  </si>
  <si>
    <t>AC0306</t>
  </si>
  <si>
    <t>179124</t>
  </si>
  <si>
    <t>AC03294000</t>
  </si>
  <si>
    <t>CH3COCH3.XL</t>
  </si>
  <si>
    <t>64197</t>
  </si>
  <si>
    <t>C0759-1KG</t>
  </si>
  <si>
    <t>125.070.010</t>
  </si>
  <si>
    <t>A1296-500G</t>
  </si>
  <si>
    <t xml:space="preserve">S8157 </t>
  </si>
  <si>
    <t>463-40-1</t>
  </si>
  <si>
    <t>1012001000</t>
  </si>
  <si>
    <t>247561</t>
  </si>
  <si>
    <t xml:space="preserve"> T0625-100G</t>
  </si>
  <si>
    <t xml:space="preserve"> P1857</t>
  </si>
  <si>
    <t>30709-1L-GL</t>
  </si>
  <si>
    <t xml:space="preserve"> A3412-1G</t>
  </si>
  <si>
    <t xml:space="preserve"> 251275-100G</t>
  </si>
  <si>
    <t>AC07411001</t>
  </si>
  <si>
    <t>AC07411000</t>
  </si>
  <si>
    <t xml:space="preserve"> M0375-500G</t>
  </si>
  <si>
    <t>310271</t>
  </si>
  <si>
    <t xml:space="preserve"> 1.00573.1000</t>
  </si>
  <si>
    <t>112080 </t>
  </si>
  <si>
    <t>339741</t>
  </si>
  <si>
    <t>AC2066025P</t>
  </si>
  <si>
    <t>AC20691000</t>
  </si>
  <si>
    <t>339741-2.5L</t>
  </si>
  <si>
    <t>B11400</t>
  </si>
  <si>
    <t>3M Battery</t>
  </si>
  <si>
    <t>WRC-300</t>
  </si>
  <si>
    <t>AC0578</t>
  </si>
  <si>
    <t>24V850VA</t>
  </si>
  <si>
    <t>MFCD00002964</t>
  </si>
  <si>
    <t>C1396-500G</t>
  </si>
  <si>
    <t>31219-500G</t>
  </si>
  <si>
    <t xml:space="preserve"> 239216-1KG</t>
  </si>
  <si>
    <t>H6269-100G</t>
  </si>
  <si>
    <t>C0759</t>
  </si>
  <si>
    <t>C2432-500ML</t>
  </si>
  <si>
    <t>M3302-5G</t>
  </si>
  <si>
    <t>196304 -5G</t>
  </si>
  <si>
    <t>H1758</t>
  </si>
  <si>
    <t>10290160500</t>
  </si>
  <si>
    <t>30712-1L-GL</t>
  </si>
  <si>
    <t>PHR2586-1G</t>
  </si>
  <si>
    <t xml:space="preserve">PHR1046 </t>
  </si>
  <si>
    <t>1099730001</t>
  </si>
  <si>
    <t>1099590001</t>
  </si>
  <si>
    <t>O7501-1G</t>
  </si>
  <si>
    <t>21639-5ML</t>
  </si>
  <si>
    <t xml:space="preserve">PHR9023 </t>
  </si>
  <si>
    <t>High O</t>
  </si>
  <si>
    <t xml:space="preserve"> 435422-250ML</t>
  </si>
  <si>
    <t xml:space="preserve">78-67-1 </t>
  </si>
  <si>
    <t> 3M 5-W</t>
  </si>
  <si>
    <t>SintecI-20A</t>
  </si>
  <si>
    <t>SHL QUENCH 100 B</t>
  </si>
  <si>
    <t>DE00401000</t>
  </si>
  <si>
    <t>270997-1L</t>
  </si>
  <si>
    <t>D8885-1KG</t>
  </si>
  <si>
    <t>31590</t>
  </si>
  <si>
    <t>296082-1L</t>
  </si>
  <si>
    <t>296082</t>
  </si>
  <si>
    <t>1030531000</t>
  </si>
  <si>
    <t>34857-1L</t>
  </si>
  <si>
    <t>1029521000</t>
  </si>
  <si>
    <t>15103</t>
  </si>
  <si>
    <t>AC09401000</t>
  </si>
  <si>
    <t>ET00032500</t>
  </si>
  <si>
    <t>443611</t>
  </si>
  <si>
    <t>64-17-5</t>
  </si>
  <si>
    <t>459836-1L</t>
  </si>
  <si>
    <t>319902-1L</t>
  </si>
  <si>
    <t xml:space="preserve"> E6511-500G</t>
  </si>
  <si>
    <t>1083422500</t>
  </si>
  <si>
    <t>1040921000</t>
  </si>
  <si>
    <t xml:space="preserve"> G9012-1L</t>
  </si>
  <si>
    <t xml:space="preserve"> 151238-500G</t>
  </si>
  <si>
    <t>AC0736</t>
  </si>
  <si>
    <t>320331</t>
  </si>
  <si>
    <t xml:space="preserve">7647-01-0 </t>
  </si>
  <si>
    <t xml:space="preserve">100-97-0 </t>
  </si>
  <si>
    <t>GRM1499-500G</t>
  </si>
  <si>
    <t>52750-10ML</t>
  </si>
  <si>
    <t>462373-1KG</t>
  </si>
  <si>
    <t>47432</t>
  </si>
  <si>
    <t>SUF-ZNP</t>
  </si>
  <si>
    <t>PP-M35</t>
  </si>
  <si>
    <t xml:space="preserve"> 38213-100G</t>
  </si>
  <si>
    <t xml:space="preserve"> 202029-100G</t>
  </si>
  <si>
    <t>DC-R446</t>
  </si>
  <si>
    <t>I3500-250MG</t>
  </si>
  <si>
    <t>I3750-25MG</t>
  </si>
  <si>
    <t>190764-2.5L</t>
  </si>
  <si>
    <t>278475-5L</t>
  </si>
  <si>
    <t>207802</t>
  </si>
  <si>
    <t>P8281-500G</t>
  </si>
  <si>
    <t xml:space="preserve">7778-50-9 </t>
  </si>
  <si>
    <t>108780</t>
  </si>
  <si>
    <t>LD9308</t>
  </si>
  <si>
    <t>P9791-500G</t>
  </si>
  <si>
    <t>KL25x25</t>
  </si>
  <si>
    <t>Ar-T-5</t>
  </si>
  <si>
    <t>Ar-T-9</t>
  </si>
  <si>
    <t>H2</t>
  </si>
  <si>
    <t>N-T-40</t>
  </si>
  <si>
    <t>291811-500ML</t>
  </si>
  <si>
    <t>60-33-3</t>
  </si>
  <si>
    <t xml:space="preserve">  377449-1KG</t>
  </si>
  <si>
    <t>PVDF-22</t>
  </si>
  <si>
    <t>PVDF-45</t>
  </si>
  <si>
    <t>0094588</t>
  </si>
  <si>
    <t>34860-2.5L-R</t>
  </si>
  <si>
    <t>1013220025</t>
  </si>
  <si>
    <t>360473-1L</t>
  </si>
  <si>
    <t>230391-25G</t>
  </si>
  <si>
    <t>15014</t>
  </si>
  <si>
    <t>EP Grease NLGI3</t>
  </si>
  <si>
    <t>AIMOL GREASETECH CAS</t>
  </si>
  <si>
    <t>3M08946</t>
  </si>
  <si>
    <t>110-54-3</t>
  </si>
  <si>
    <t>1065590500</t>
  </si>
  <si>
    <t>238597</t>
  </si>
  <si>
    <t>BP329-1</t>
  </si>
  <si>
    <t>1091411000</t>
  </si>
  <si>
    <t xml:space="preserve">1310-73-2 </t>
  </si>
  <si>
    <t xml:space="preserve"> 109169-25G</t>
  </si>
  <si>
    <t>1064041000</t>
  </si>
  <si>
    <t>NIST2186II</t>
  </si>
  <si>
    <t xml:space="preserve"> S5881-1KG</t>
  </si>
  <si>
    <t xml:space="preserve">O7501 </t>
  </si>
  <si>
    <t>1043792500</t>
  </si>
  <si>
    <t>1043671000</t>
  </si>
  <si>
    <t xml:space="preserve"> 110-54-3</t>
  </si>
  <si>
    <t>HE0242</t>
  </si>
  <si>
    <t>NCAT-0002</t>
  </si>
  <si>
    <t>O3907-500ML</t>
  </si>
  <si>
    <t xml:space="preserve"> 112-80-1</t>
  </si>
  <si>
    <t xml:space="preserve"> 247537-1KG</t>
  </si>
  <si>
    <t>P5905-100G</t>
  </si>
  <si>
    <t>363138-1KG</t>
  </si>
  <si>
    <t>221945</t>
  </si>
  <si>
    <t xml:space="preserve">R3277 </t>
  </si>
  <si>
    <t>89943-1KG-F</t>
  </si>
  <si>
    <t>Secco1000</t>
  </si>
  <si>
    <t xml:space="preserve">GRM705-100G </t>
  </si>
  <si>
    <t>S9888</t>
  </si>
  <si>
    <t>8220501000</t>
  </si>
  <si>
    <t xml:space="preserve"> S3139-500G</t>
  </si>
  <si>
    <t>221732-500G</t>
  </si>
  <si>
    <t>Bạch Tuyết-1kg</t>
  </si>
  <si>
    <t xml:space="preserve"> 57-11-4</t>
  </si>
  <si>
    <t>411442-1L</t>
  </si>
  <si>
    <t>258105-1L-PC</t>
  </si>
  <si>
    <t>443786-2.5L</t>
  </si>
  <si>
    <t>G2039-25G</t>
  </si>
  <si>
    <t>TO0087</t>
  </si>
  <si>
    <t xml:space="preserve"> 29385-43-1</t>
  </si>
  <si>
    <t>TR0202</t>
  </si>
  <si>
    <t>16303</t>
  </si>
  <si>
    <t>1371481000</t>
  </si>
  <si>
    <t>SML0310-5MG</t>
  </si>
  <si>
    <t>W324721-25KG-K</t>
  </si>
  <si>
    <t xml:space="preserve"> H11300-500G</t>
  </si>
  <si>
    <t>398160-250G</t>
  </si>
  <si>
    <t>398160</t>
  </si>
  <si>
    <t xml:space="preserve"> LifeBuoy-90</t>
  </si>
  <si>
    <t>1060760025</t>
  </si>
  <si>
    <t>123864</t>
  </si>
  <si>
    <t>1314-13-2</t>
  </si>
  <si>
    <t xml:space="preserve">TI0303 </t>
  </si>
  <si>
    <t>T8656</t>
  </si>
  <si>
    <t>Empoli</t>
  </si>
  <si>
    <t>Sơn Hà, Việt Nam</t>
  </si>
  <si>
    <t>Việt Nam</t>
  </si>
  <si>
    <t>Wilo, Hàn Quốc</t>
  </si>
  <si>
    <t xml:space="preserve">Kovax
</t>
  </si>
  <si>
    <t xml:space="preserve">Asaki
</t>
  </si>
  <si>
    <t xml:space="preserve">Kiato, Ấn Độ
</t>
  </si>
  <si>
    <t>LB Nga</t>
  </si>
  <si>
    <t>FUJIMAC</t>
  </si>
  <si>
    <t xml:space="preserve">Metabo
</t>
  </si>
  <si>
    <t>Mono PERC</t>
  </si>
  <si>
    <t>Allied High Tech Products, Inc.,USA</t>
  </si>
  <si>
    <t xml:space="preserve">ISOLAB
</t>
  </si>
  <si>
    <t>Duran- Đức</t>
  </si>
  <si>
    <t xml:space="preserve">Malaysia
</t>
  </si>
  <si>
    <t xml:space="preserve">Castong, TQ
</t>
  </si>
  <si>
    <t xml:space="preserve">Whatman
</t>
  </si>
  <si>
    <t xml:space="preserve">Himedia - Ấn Độ
</t>
  </si>
  <si>
    <t>Benzo, Việt Nam</t>
  </si>
  <si>
    <t xml:space="preserve">Omron
</t>
  </si>
  <si>
    <t>Hanyoung, Hàn Quốc</t>
  </si>
  <si>
    <t>SolarV, Việt Nam</t>
  </si>
  <si>
    <t>Trung Quốc</t>
  </si>
  <si>
    <t xml:space="preserve">Acros
</t>
  </si>
  <si>
    <t>TCI America</t>
  </si>
  <si>
    <t xml:space="preserve">Scharlau, Pháp
</t>
  </si>
  <si>
    <t xml:space="preserve">Merck
</t>
  </si>
  <si>
    <t>3M, Ấn Độ</t>
  </si>
  <si>
    <t>Wurth, Đức</t>
  </si>
  <si>
    <t>AST inverter, Việt Nam</t>
  </si>
  <si>
    <t xml:space="preserve">Pháp
</t>
  </si>
  <si>
    <t xml:space="preserve">Supelco
</t>
  </si>
  <si>
    <t>Hoàn Cầu, Việt Nam</t>
  </si>
  <si>
    <t>GFS Chemicals</t>
  </si>
  <si>
    <t>EFELE, Nga</t>
  </si>
  <si>
    <t xml:space="preserve">Bioreagents
</t>
  </si>
  <si>
    <t xml:space="preserve">Ấn Độ
</t>
  </si>
  <si>
    <t xml:space="preserve">Tinderex, CH Séc
</t>
  </si>
  <si>
    <t>-	Vật liệu: carbide wolfram;
-	Đường kính 8 mm;
- Độ cứng 60 HRC.</t>
  </si>
  <si>
    <t>Bộ dụng cụ gồm 46 chi tiết - 1/4 inch:
 - 13 đầu socket lực giác từ 4-14 mm
- 1 đầu chuyển đổi; 6 đầu soket lục giác 3-8 mm; 3 đầu vít dẹp (hai cạnh): 3, 4.5, 7 mm
- 3 đầu vít 4 cạnh (bake) PH1 - PH3; 3 đầu vít Pozidriv PZ1 - PZ3
- 7 đầu Torx TX8; TX10; TX15; TX20; TX25; TX30; TX40
- 3 cây lục giác L-wrenches 1,5; 2,0; 2,5 mm; 1 cần siết 1/4 inch
- 1 spinner 1/4 inch;  1 cần chữ T 1/4 inch; 1 đầu nối dài linh hoạt 1/4 inch 150 mm
- 1 đầu 1/4 inch; 2 đầu nối dài 1/4 inch 50 và 100 mm</t>
  </si>
  <si>
    <t>- Gồm: 13 khẩu 10, 11, 12, 13, 14, 15, 16, 17, 19, 21, 22, 24, 27, 30, 32mm; đầu nối dài 5 và 10 inch; tay 360 độ, tay điều chỉnh trượt, cần siết 2 chiều, nối khẩu lắc kéo, hộp đựng kim loại; - Vật liệu: Hợp kim thép CR-V. - Kích thước hộp: 45x20x10 cm - Barker hoặc tương đương</t>
  </si>
  <si>
    <t>- 19 mũi có kích thước từ 1 - 1.5 - 2 - 2.5 - 3 - 3.5 - 4 - 4.5 - 5 - 5.5 - 6 - 6.5 - 7 - 7.5 - 8 - 8.5 - 9 - 9.5 – 10 mm; - Vật liệu HSS-G. - Makita hoặc tương đương</t>
  </si>
  <si>
    <t>- Mũi phay kích cỡ 3, 5, 8, 12 mm. - Vật liệu: 12X12X16X73, phủ TiAlN - 4 me YG1 hoặc tương đương</t>
  </si>
  <si>
    <t>-Áp suất làm việc: &lt;1 Mpa
- Vạch chia: 20ml
- Vật liệu: Thủy tinh chịu nhiệt nhóm TCS</t>
  </si>
  <si>
    <t>Thể tích bồn: 240L
Vật liệu lõi: PPR dày 5mm
Vật liệu vỏ: SUS 304 dày 1 mm
Lớp bảo ôn: Polyurethane dày 50 mm, tỷ lệ điền đầy lớn hơn 95%
Có 01 van xả an toàn quá áp và quá nhiệt; 01 đồng hồ hiển thị áp lực;
Áp lực tối đa: 6 bar
Áp lực thử nghiệm: 9 bar
Đáp ứng tiêu chuẩn: QPĐT 03-71, QPVN 2-75, TCVN 8366:2010
Bảo hành 5 năm</t>
  </si>
  <si>
    <t>Vật liệu: Thép V5 nhúng kẽm nóng
Kích thước: 120 x 110 x 135 cm
Chịu tải trọng: 150 kg
Độ dốc mái: 20 độ</t>
  </si>
  <si>
    <t>Dạng bồn: Nằm ngang
Chất liệu: Nhựa 
Giới hạn chì:  không quá 100 µg/g
Giới hạn Cadmi:  không quá 100 µg/g
Kết cấu: nhựa 4 lớp dày, chịu va đập, độ dày 3 mm
Thế tích chứa: 1000 Lít</t>
  </si>
  <si>
    <t>Vật liệu: SUS 316, dày 3 mm
Thể tích: 40 Lít
Có van phao điện
Van xả đáy Ф27 mm</t>
  </si>
  <si>
    <t>- Bột đúc mẫu soi kim tương;
- Nhựa bakelite màu trắng;
- Trọng lượng 1kg.</t>
  </si>
  <si>
    <t>- Độ tinh khiết 99%, màu trắng, hộp 1kg
- Dùng trong chế tạo mẫu kim tương</t>
  </si>
  <si>
    <t>- Độ tinh khiết 99%, màu xanh côban, hộp 1kg - Dùng trong chế tạo mẫu kim tương</t>
  </si>
  <si>
    <t>Độ tinh khiết 99%, màu đen, hộp 2kg</t>
  </si>
  <si>
    <t>- Bột đúc mẫu soi kim tương;
- Có khả năng dẫn điện;
- Trọng lượng 0,45kg.</t>
  </si>
  <si>
    <t>- Nhựa nhiệt rắn Phenolic;
- Màu đen;
- Trọng lượng 5lbs.</t>
  </si>
  <si>
    <t>- Bột đúc mẫu soi kim tương;
- Hạt nhựa Blue Diallyl Phthalate;
- Trọng lượng 5lbs.</t>
  </si>
  <si>
    <t>- Kích thước hạt 120 um
- Quy cách: 75ml</t>
  </si>
  <si>
    <t>Dạng bồn: Nằm ngang
Chất liệu: Nhựa 
Giới hạn chì:  không quá 100 µg/g
Giới hạn Cadmi:  không quá 100 µg/g
Kết cấu: nhựa 4 lớp dày, chịu va đập, độ dày 3 mm
Thế tích chứa: 300 Lít</t>
  </si>
  <si>
    <t>- Trọng lượng 1000Gr - Vật liệu: Thép hợp kim - Tolsen hoặc tương đương</t>
  </si>
  <si>
    <t>Vật liệu inox 316 kích thước 60x5mm</t>
  </si>
  <si>
    <t>Vật liệu  inox 316 kích thước 50x8 mm</t>
  </si>
  <si>
    <t>- Vật liệu: Thép Không gỉ 316
- Kích thước: 50x8 mm</t>
  </si>
  <si>
    <t>- Ren 8mm, thân 17 mm
- Vật liệu Inox 304
- Đóng gói: túi 1,5 kg</t>
  </si>
  <si>
    <t>- Nhiệt độ làm việc: -40ºC đến 100ºC
- Đáp ứng tiêu chuẩn: ТУ 38-105250-91 hoặc tương đương</t>
  </si>
  <si>
    <t>'- Tỷ trọng: 3.9 – 3.94
- Kích thước hạt : 180 – 212 Micron
- Hình dáng: góc, khối-
- Khối lượng riêng (kg/m3): 2400
- Độ cứng (moh): 9</t>
  </si>
  <si>
    <t>'- Tỷ trọng: 3.9 – 3.94
- Kích thước hạt : 180 – 212 Micron
- Hình dáng: góc, khối-
- Khối lượng riêng (kg/m3): 2400
- Độ cứng (moh): 9
- Bao 25 kg</t>
  </si>
  <si>
    <t>- Kích thước hạt: -45 +5.5;
- Hình thái: irregular;
- Nhiệt độ làm việc: đến 870 độ C.</t>
  </si>
  <si>
    <t>- Compound đánh bóng
- Polycrystalline
- Kích thước hạt 1 um
- Dung tích 500ml</t>
  </si>
  <si>
    <t>- Compound đánh bóng
- Polycrystalline
- Kích thước hạt 3 um
- Dung tích 500ml</t>
  </si>
  <si>
    <t>Dây cáp thép bọc nhựa [ Ø 3mm ] dài 25 m
Chất liệu: Nhựa PVC+ Cáp thép mạ kẽm
Màu sắc: Trắng Trong
Đường kính: Ø [ 3mm ]
Đóng gói: Có tang gỗ hoặc cuốn rời</t>
  </si>
  <si>
    <t>Độ nhám: P120 grit
Dây vòng kín, kích thước: 230x280 x 1000mm; Quy cách: cái</t>
  </si>
  <si>
    <t>Độ nhám: P320 grit
Dây vòng kín, kích thước: 230x280 x 1000mm; Quy cách: cái</t>
  </si>
  <si>
    <t>Độ nhám: P400 grit
Dây vòng kín, kích thước: 230x280 x 1000mm; Quy cách: cái</t>
  </si>
  <si>
    <t>Độ nhám: P600 grit
Dây vòng kín, kích thước: 230x280 x 1000mm; Quy cách: cái</t>
  </si>
  <si>
    <t>Độ nhám: P80 grit
Dây vòng kín, đường kính 50 cm; Quy cách: cái</t>
  </si>
  <si>
    <t>- Màu trắng, nylon PA66
- Số lượng: 50 dây/túi
- Kích thước: 4.8x200 mm</t>
  </si>
  <si>
    <t>- Màu trắng, nylon PA66
- Số lượng: 50 dây/túi
- Kích thước: 4.8x250 mm</t>
  </si>
  <si>
    <t>- Màu trắng, nylon PA66
- Số lượng: 50 dây/túi
- Kích thước: 4.8x300 mm</t>
  </si>
  <si>
    <t>- Màu trắng, nylon PA66
- Số lượng: 50 dây/túi
- Kích thước: 4.8x400 mm</t>
  </si>
  <si>
    <t>- Màu trắng, nylon PA66
- Số lượng: 50 dây/túi
- Kích thước: 4.8x500 mm</t>
  </si>
  <si>
    <t>- Đường kính ngoài: 125mm
- Đường kính trong: 22.2mm
- Độ dày: 1mm</t>
  </si>
  <si>
    <t>- Độ hạt: grit 200
- Dùng cho thép &gt; 55 HRC
- Kích thước: 356x38x127 (Đường kính ngoài: 356mm, đường kính lỗ: 127mm; chiều dày: 38mm)</t>
  </si>
  <si>
    <t>- Kích thước phần hợp kim là 30x20mm
- Độ hạt: grit 200
- Hợp kim CBN
- Loại keo: Resinoid B
- Kích thước: 355x30x127 (Đường kính ngoài: 355mm, đường kính lỗ: 127mm; chiều dày: 30mm)</t>
  </si>
  <si>
    <t>Đường kính ngoài: 100 mm
Lỗ đĩa: 16 mm</t>
  </si>
  <si>
    <t>- Đường kính ngoài 660mm
- Bề rộng: 22.23mm
- Đường kính lỗ: 203.2mm
- Vật liệu oxit nhôm
- Grit 80</t>
  </si>
  <si>
    <t>- Đá mài;
- Loại oxit nhôm;
- Cỡ hạt 150 Grit;
- Kích thước 14″ x 1¾” x 1½”.</t>
  </si>
  <si>
    <t>- Đá mài;
- Loại oxit nhôm;
- Cỡ hạt 60 Grit;
- Kích thước 14″ x 1¾” x 1½”.</t>
  </si>
  <si>
    <t>- Đá mài;
- Loại Green Silicon Carbide;
- Cỡ hạt 120 Grit;
- Kích thước 14″ x 1¾” x 1½”.</t>
  </si>
  <si>
    <t>- Đá mài;
- Loại Silicon Carbide;
- Cỡ hạt 150 Grit;
- Kích thước 14″ x 1¾” x 1½”.</t>
  </si>
  <si>
    <t>- Đai nhám vòng;
- Vật liệu mài: oxit nhôm;
- Độ nhám: 180 grit;
- Rộng 4";
- Dài: 36";
- Số lượng 10 cái/hộp.</t>
  </si>
  <si>
    <t>- Đai nhám vòng;
- Vật liệu mài: oxit nhôm;
- Độ nhám: 120 grit;
- Rộng 4";
- Dài: 36";
- Số lượng 10 cái/hộp.</t>
  </si>
  <si>
    <t>- Đai nhám vòng;
- Vật liệu mài: oxit nhôm;
- Độ nhám: 240 grit;
- Rộng 4";
- Dài: 36";
- Số lượng 10 cái/hộp.</t>
  </si>
  <si>
    <t>- Đai nhám vòng;
- Vật liệu mài: oxit nhôm;
- Độ nhám: 320 grit;
- Rộng 4";
- Dài: 36";
- Số lượng 10 cái/hộp.</t>
  </si>
  <si>
    <t>- Đai nhám vòng;
- Vật liệu mài: oxit nhôm;
- Độ nhám: 600 grit;
- Rộng 4";
- Dài: 36";
- Số lượng 10 cái/hộp.</t>
  </si>
  <si>
    <t>- Đai nhám vòng;
- Vật liệu mài: oxit nhôm;
- Độ nhám: 80 grit;
- Rộng 4";
- Dài: 36";
- Số lượng 10 cái/hộp.</t>
  </si>
  <si>
    <t>Đường kính bánh chà: 100mm Đường kính trục ren: 10mm 
Có mặt nhám để dán giấy nhám</t>
  </si>
  <si>
    <t>- Đường kính 125 mm, dày 2,5 mm; - Lỗ đĩa 16 mm; - Tốc độ quay lớn nhất 12.200 vòng/phút</t>
  </si>
  <si>
    <t>- Đường kính 245 mm; - Hạt cắt: SiC, Al2O3. - LECO hoặc tương đương</t>
  </si>
  <si>
    <t>Độ nhám: P1500 grit
Đường kính 40 cm, có đầu gắn nhám dính</t>
  </si>
  <si>
    <t>- Bề mặt PTFE hỗ trợ dán giấy mài không cần keo kết kính
- Đĩa có từ tính
- đường kính 8"</t>
  </si>
  <si>
    <t>- Đĩa kim cương mài thô, độ cứng vật liệu &gt; 150HV
- Resin Bond
- Kích thước  8"</t>
  </si>
  <si>
    <t>- Đường kính 100 mm, lỗ đĩa 16 mm, độ mịn #60,#120,#240. - Total hoặc tương đương</t>
  </si>
  <si>
    <t>Độ nhám: P120 grit
Đường kính 40 cm, có đầu gắn nhám dính; Quy cách: cái</t>
  </si>
  <si>
    <t>Độ nhám: P120 grit
Đường kính 40 cm, có đầu gắn nhám dính</t>
  </si>
  <si>
    <t>Độ nhám: P2000 grit
Đường kính 40 cm, có đầu gắn nhám dính</t>
  </si>
  <si>
    <t>Độ nhám: P240 grit
Đường kính 40 cm, có đầu gắn nhám dính; Quy cách: cái</t>
  </si>
  <si>
    <t>Độ nhám: P320 grit
Đường kính 40 cm, có đầu gắn nhám dính; Quy cách: cái</t>
  </si>
  <si>
    <t>Độ nhám: P400 grit
Đường kính 40 cm, có đầu gắn nhám dính; Quy cách: cái</t>
  </si>
  <si>
    <t>Độ nhám: P600 grit
Đường kính 40 cm, có đầu gắn nhám dính; Quy cách: cái</t>
  </si>
  <si>
    <t>Độ nhám: P80 grit
Đường kính 40 cm, có đầu gắn nhám dính</t>
  </si>
  <si>
    <t>Độ nhám: P1000 grit
Đường kính 40 cm, có đầu gắn nhám dính</t>
  </si>
  <si>
    <t>- Đường kính 100 mm, lỗ đĩa 16 mm, độ mịn #1500, #2000.</t>
  </si>
  <si>
    <t>Cu: 99.9%; Fe: ≤0.005%
Hàm lượng Al: 87,6%-93,6%
Độ bền kéo: 127 - 196 MPa
Độ cứng HB: 50- 75 Mpa
Đáp ứng tiêu chuẩn GОСТ 1583:1993</t>
  </si>
  <si>
    <t>Hàm lượng: Cu: 99.9%; Fe: ≤0.005%
Kích thước: 50mm x 100mm x 3mm
Độ nhám bề mặt Ra: max.0,15 µm
Độ gợn sóng bề mặt Wa: max. 0,20 µm; Quy cách: mẫu</t>
  </si>
  <si>
    <t>Kích thước: (100 × 100 × 0.2) cm Hàm lượng Cu và Ag: &gt; 99,9% Độ bền kéo: 200 - 260 MPa Độ cứng HB: 50-60 Mpa Đáp ứng tiêu chuẩn GOST 859:2014</t>
  </si>
  <si>
    <t>- Chiều cao = 17cm – Kẹp tối đa = 16cm - Asaki hoặc tương đương</t>
  </si>
  <si>
    <t>hạt kim cương kích thước hạt 1 μm, 18 g/lọ</t>
  </si>
  <si>
    <t>hạt kim cương kích thước hạt 2 μm, 18 g/lọ</t>
  </si>
  <si>
    <t>hạt kim cương kích thước hạt 5 μm, 18 g/lọ</t>
  </si>
  <si>
    <t>- Bột mài kim cương, đa tinh thể, kích thước hạt 0,25 micron, - Lọ 18 g - Allied hoặc tương đương</t>
  </si>
  <si>
    <t>Vật liệu: Inox 304L
Kích thước: 170 x200x 135 cm
Chịu tải trọng: 300 kg</t>
  </si>
  <si>
    <t>- Kích thước: 1,1 x 0,6, vật liệu inox 304, dạng lưới mắt cáo 15 mm x 15 mm, có móc treo.</t>
  </si>
  <si>
    <t>Kích thước: 220cm x 130cm x 230cm, thép mạ kẽm V40x4; Quy cách: cái</t>
  </si>
  <si>
    <t>Vật liệu thép CT4 
Kích thước: 2m x1,5m x 2m
Chế tạo khung có ray gắn các thanh dọc</t>
  </si>
  <si>
    <t>Vật liệu thép CT4 
Kích thước: 1m x1m x 0,7m
Chế tạo khung có ray gắn các thanh dọc</t>
  </si>
  <si>
    <t>Vật liệu thép V4 x 4, mạ kẽm nhúng nóng
Kích thước: 40 x 180 cm</t>
  </si>
  <si>
    <t>Kích thước: 220cm x 130cm x 230cm, thép mạ kẽm V40x4</t>
  </si>
  <si>
    <t>Vật liệu thép V4 x 4, mạ kẽm nhúng nóng
Kích thước: 45 x 210 cm
Chia thành 4 ô để chứa mẫu</t>
  </si>
  <si>
    <t>- Kích thước: 230x280mm, độ hạt nhám 1000 - Kovax hoặc tương đương</t>
  </si>
  <si>
    <t>- Kích thước: 230x280mm, độ hạt nhám 120 - Kovax hoặc tương đương</t>
  </si>
  <si>
    <t>- Kích thước: 230x280mm, độ hạt nhám 400 - Kovax hoặc tương đương</t>
  </si>
  <si>
    <t>- Kích thước: 230x280mm, độ hạt nhám 800 - Kovax hoặc tương đương</t>
  </si>
  <si>
    <t>- Kích thước: 30x30 cm, độ hạt nhám 1000</t>
  </si>
  <si>
    <t>- Kích thước: 230x280 x 1000mm, độ hạt nhám 120</t>
  </si>
  <si>
    <t>- Kích thước: 230x280 x 1000mm, độ hạt nhám 180</t>
  </si>
  <si>
    <t>- Kích thước: 230x280 x 1000mm, độ hạt nhám 24</t>
  </si>
  <si>
    <t>- Kích thước: 230x280 x 1000mm, độ hạt nhám 320</t>
  </si>
  <si>
    <t>- Kích thước: 230x280 x 1000mm, độ hạt nhám 400</t>
  </si>
  <si>
    <t>- Kích thước: 230x280 x 1000mm, độ hạt nhám 600</t>
  </si>
  <si>
    <t>- Kích thước: 230x280 x 1000mm, độ hạt nhám 80</t>
  </si>
  <si>
    <t>Thép tấm vật liệu 304
Kích thước 100x50x1,5mm
Độ nhám bề mặt Ra ≤ 0,25 um</t>
  </si>
  <si>
    <t>Thép tấm vật liệu 306
Kích thước 100x50x1,5mm
Độ nhám bề mặt Ra ≤ 0,25 um</t>
  </si>
  <si>
    <t>- Chất liệu: Thép không rỉ 304L
- Kích thước: 19.5x 9.5x 0.7cm</t>
  </si>
  <si>
    <t>- Chất liệu: Thép carbon
- Kích thước: 19.5x 9.5x 0.7cm</t>
  </si>
  <si>
    <t>Kích thước: 230 mm x 80 mm x 20 mm
Thép carbon C50</t>
  </si>
  <si>
    <t>Quy cách: 6 ", 150.mm</t>
  </si>
  <si>
    <t>- Kích thước: 13,5 x 5,5 cm; - Vật liệu: thép S58C. - PLATO hoặc tương đương</t>
  </si>
  <si>
    <t>- Thân kìm sử dụng thép high carbon
- Lưỡi kìm thông qua sử lý tôi cảm ứng
- Cán bọc nhựa màu cam
- Cắt cáp điện (đồng, nhôm)từ 60mm² trở xuống</t>
  </si>
  <si>
    <t>Kích thước: D x R x C: 8 x 3 x 1 cm
Kích cỡ: 180 mm</t>
  </si>
  <si>
    <t>- Kích thước 6x17 cm; - Vật liệu: thép cứng chống gỉ, vỏ bọc cao su dẻo, cách điện tốt. - XLD hoặc tương đương</t>
  </si>
  <si>
    <t>- Chiều dài: 32 cm
- Vật liệu: Thép nguội C45</t>
  </si>
  <si>
    <t>Chống dung môi, hóa chất</t>
  </si>
  <si>
    <t>Dòng điện định mức: 20A
Điện áp định mức: 24 V
Công suất: 600W
Dòng tải: &lt;30A
Dòng điện chờ: &lt;10mA.
Nhiệt độ làm việc: -35°C ~ +60 °C</t>
  </si>
  <si>
    <t>- Kích thước: 5mx1,75mx2m (dài x rộng x cao). 
- Vật liệu: Inox 304, 6 trụ, 2 xà dọc, 3 xà ngang, ống tròn phi 70mm</t>
  </si>
  <si>
    <t>- Đường kính trong 20 cm, dày 5 mm
- Vật liệu: thép SKD61
- Tương thích với thiết bị đúc mẫu XQ-2B</t>
  </si>
  <si>
    <t>- Đường kính trong 40 cm, dày 5 mm
- Vật liệu: thép SKD61
- Tương thích với thiết bị đúc mẫu XQ-2B</t>
  </si>
  <si>
    <t>305x25,4x2,1mm</t>
  </si>
  <si>
    <t>- Dao số 10, 11, 12, 15, 21, 23
- Vật liệu: Thép không gỉ SUS440C
- Hộp 100 lưỡi dao</t>
  </si>
  <si>
    <t>- Vật liệu: nhựa PP
- Kích thước: 10x10 mm</t>
  </si>
  <si>
    <t>Vật liệu: PTFE, kích thước lỗ 0,22µm, 150x200mm
Đóng gói: Hộp 10 cái</t>
  </si>
  <si>
    <t>Vật liệu: PTFE, kích thước lỗ 0,45µm, 150x200mm
Đóng gói: Hộp 10 cái</t>
  </si>
  <si>
    <t>- Điện áp: 220V; - Công suất 15W; - Độ khắc sâu: 0.01 – 0.2/ 0.03 – 0.3mm; - Trọng lượng: 450g.</t>
  </si>
  <si>
    <t>Đá mài: 125mm
Đá cắt : 125 mm
Lưu lượng điện tiêu thụ: 840W
Tốc độ không tải: 11.000 vòng/phút
Trọng lượng tịnh: 1.6 kg
Dây dẫn điện: 2.5mm</t>
  </si>
  <si>
    <t>Công suất động cơ 550W
Điện áp 220v - 50Hz
Khoảng cách phun 20 - 30cm
Trọng lượng 1.3KG</t>
  </si>
  <si>
    <t>- Nhiệt độ: 50º - 600ºC; - Công suất: 2000W; - Sử dụng điện: 220V 50Hz. - Talon hoặc tương đương</t>
  </si>
  <si>
    <t>- Kích thước: 100*250*3 mm
-Chuẩn GOST 859</t>
  </si>
  <si>
    <t>-Nhiệt độ nóng chảy: 1083 °C
- Độ dẫn điện: 0,018 μOhm
- Hàm lượng đồng: ≥ 99.96%
- Độ nhám bề mặt Ra ≤ 5 µm
- Bề mặt không có dấu hiệu bị ăn mòn
- Đáp ứng tiêu chuẩn GOST 859 hoặc tương đương</t>
  </si>
  <si>
    <t>- Kích thước: 100*250*3 mm
-Chuẩn: GOST 2208</t>
  </si>
  <si>
    <t>- Nhiệt độ nóng chảy: 906 °C
- Hàm lượng kẽm: 34.22-37.5%
- Hàm lượng đồng: 62-65%
- Khối lượng riêng (20°C): 8440 kg/m3 
- Độ nhám bề mặt Ra ≤ 5 µm
- Bề mặt không có dấu hiệu bị ăn mòn
- Đáp ứng tiêu chuẩn GOST 2208 hoặc tương đương</t>
  </si>
  <si>
    <t>- Kích thước: 100*250*3 mm
-Chuẩn: GOST 1412</t>
  </si>
  <si>
    <t>- Độ bền kéo: 200 Mpa
- Khối lượng riêng: 7.1x10-3 kg/m3
- Độ nhám bề mặt Ra ≤ 5 µm
- Bề mặt không có dấu hiệu bị ăn mòn
- Đáp ứng tiêu chuẩn GOST 1412 hoặc tương đương</t>
  </si>
  <si>
    <t>- Độ bền kéo: 24 kgf/mm2
- Độ bền uốn: 44 kgf/mm2
- Độ cứng: HB 10-1= 170-241
- Độ nhám bề mặt Ra ≤ 5 µm
- Bề mặt không có dấu hiệu bị ăn mòn
- Đáp ứng tiêu chuẩn: GOST 1412 hoặc tương đương</t>
  </si>
  <si>
    <t>- Độ cứng: HB 10-1 = 50 - 75   Mpa
- Độ bền: 127-196 Mpa
- Độ giãn dài: 0.5-1%
- Độ nhám bề mặt Ra ≤ 5 µm
- Bề mặt không có dấu hiệu bị ăn mòn
- Đáp ứng tiêu chuẩn: GOST 1583 hoặc tương đương</t>
  </si>
  <si>
    <t>- Kích thước: 100*250*3 mm
- Độ bền kéo: 380-490 Mpa
- Độ cứng HB 10 -1 = 131 Mpa
- Hàm lượng lưu huỳnh: ≤0.05%
- Hàm lượng photpho: ≤0.04%
- Độ nhám bề mặt Ra ≤ 5 µm
- Bề mặt không có dấu hiệu bị ăn mòn
- Đáp ứng tiêu chuẩn GOST 859 hoặc tương đương</t>
  </si>
  <si>
    <t>- Kích thước: 100*250*3 mm
-Chuẩn: GOST 21930</t>
  </si>
  <si>
    <t>- Hàm lượng thiếc: 29-31%
- Hàm lượng antimon: 1.5-2%
- Nhiệt độ nóng chảy: 250 ºC
- Độ bền kéo: 4 kgf/mm2
- Đáp ứng tiêu chuẩn GOST 21930 hoặc tương đương</t>
  </si>
  <si>
    <t>- Kích thước hạt:-75 +38;
- Hình thái: dạng cầu;
- Nhiệt độ làm việc: đến 340 độ C.</t>
  </si>
  <si>
    <t>Có lỗ thoáng khí, chịu được lực cao.
Dễ dàng điều chỉnh phù hợp với người mang bằng nút gài.
Chất Liệu: HDPE
Màu Sắc: Trắng</t>
  </si>
  <si>
    <t>- Mũi thử bằng kim cương, đầu típ góc 136 độ
- Đo được lực tải từ 10g tới 30 kg.
- Đầu nối tương thích với thiết bị HV-1000ZDT</t>
  </si>
  <si>
    <t>- Bộ 5 mũi khoan đường kính 10 mm
- Vật liệu HSS-G.
- Phủ TiAlCN</t>
  </si>
  <si>
    <t>- Kích thước hạt:-150+45;
- Thành phần hóa học: 99.3 %+ Ni;
- Nhiệt độ nóng chảy 1453 độ C
- Hình thái: dạng cầu;
- Nhiệt độ làm việc: đến 340 độ C.</t>
  </si>
  <si>
    <t>- Kích thước hạt: -90 +45;
- Mo 99.5+
- Hình thái: dạng cầu;
- Nhiệt độ làm việc: đến 800 độ C;
- Độ cứng: 65-85 HRB.</t>
  </si>
  <si>
    <t>- Cảm quang, màu sắc: Chất lỏng màu vàng chanh</t>
  </si>
  <si>
    <t>Nguồn điện: 220V/50HZ	
Công suất: 100 W
Đường kính xả: 20 mm
Áp suất: 18 kPa
Lưu lượng: 150 Lít/phút</t>
  </si>
  <si>
    <t>Vật liệu: Borosilicat
Đường kính ngoài: 58 mm
Đường kính trong: 47 mm
Chiều dài: 2000 mm
Độ hấp thu: &gt;92%</t>
  </si>
  <si>
    <t>- Mác thép: 25XHBA
- %C: 0,22-0,28%;Si: 0,9-1,2%;Mn: 0,8-1,1%; P&lt;0,025%; S&lt;0,25%
- Dài 8 m, đường kính 80 mm
- Độ bền kéo đứt: &gt;835 N/mm2
- Giới hạn chảy: 540 N/mm2
- Độ giãn dài tương đối: 10%
- Độ cứng (ủ/ ủ cao): &lt;179 HBS100/3000
- Bề mặt không có dấu hiệu bị ăn mòn</t>
  </si>
  <si>
    <t>- Mác thép: 30XH3A  
- %C: 0,28-0,34%;Si: 0,9-1,2%;Mn: 0,8-1,1%; P&lt;0,025%; S&lt;0,25%, Cr: 0,8-1,1%
- Dài 8 m, đường kính 80 mm
- Độ bền kéo đứt: 610 N/mm2
- Giới hạn chảy: 430 N/mm2
- Độ giãn dài tương đối: 20%
- Bề mặt không có dấu hiệu bị ăn mòn</t>
  </si>
  <si>
    <t>- Kích thước: 500*500*3mm
- Vật liệu: SUS440C
- Hàm lượng P&lt;0,04%, S&lt;0,03%
- Độ nhám bề mặt Ra&lt;0,25 µm</t>
  </si>
  <si>
    <t>- Mác thép: C50
- %C: 0,47-0,55%;Si: 0,17-0,37%;Mn: 0,5-0,8%; P&lt;0,035%; S&lt;0,04%
- Dài 8 m, đường kính 80 mm
- Độ bền kéo đứt: 375 N/mm2
- Giới hạn chảy: 225 N/mm2
- Độ giãn dài tương đối: 22%
- Bề mặt không có dấu hiệu bị ăn mòn</t>
  </si>
  <si>
    <t>Công suất: 4,0 HP
Cột áp tối đa : 20m
Lưu lượng : 6,0m³/h
Nguồn điện : 220V/50Hz
Ống vào/ra : 65/50 mm
Nhiệt độ nước : &lt;70°C</t>
  </si>
  <si>
    <t>- Chất liệu: Vải kaki, màu xám
- Kích cỡ: L</t>
  </si>
  <si>
    <t>- Đường kính: 8" (203mm);
- Kích thước lỗ: 635 mesh;
- Vật liệu lưới: inox 304;
- Vật liệu khung: đồng thau;
- Đạt tiêu chuẩn ISO 3310-1;
- Tổng chiều cao sàng rây: 2-5/8’’ (6,67cm);
- Chiều cao từ miệng sàng đến lưới sàng là 2’’ (5.08cm);
- Chiều cao của chân sàng 5/8’’ (1.59cm).</t>
  </si>
  <si>
    <t>- Đường kính: 8" (203mm);
- Kích thước lỗ: 140 mesh;
- Vật liệu lưới: inox 304;
- Vật liệu khung: đồng thau;
- Đạt tiêu chuẩn ISO 3310-1;
- Tổng chiều cao sàng rây: 2-5/8’’ (6,67cm);
- Chiều cao từ miệng sàng đến lưới sàng là 2’’ (5.08cm);
- Chiều cao của chân sàng 5/8’’ (1.59cm).</t>
  </si>
  <si>
    <t>- Đường kính: 8" (203mm);
- Kích thước lỗ: 325 mesh;
- Vật liệu lưới: inox 304;
- Vật liệu khung: đồng thau;
- Đạt tiêu chuẩn ISO 3310-1;
- Tổng chiều cao sàng rây: 2-5/8’’ (6,67cm);
- Chiều cao từ miệng sàng đến lưới sàng là 2’’ (5.08cm);
- Chiều cao của chân sàng 5/8’’ (1.59cm).</t>
  </si>
  <si>
    <t>- Kích thước hạt:-45+15;
- Hình thái: dạng cầu;
- Nhiệt độ làm việc: đến 1300 độ C.</t>
  </si>
  <si>
    <t>- Giấy mài 8";
- Độ nhám: grit 120;
- Hạt mài SiC;
- Đế dán keo.</t>
  </si>
  <si>
    <t>- Giấy mài 8";
- Độ nhám: grit 1200;
- Hạt mài SiC;
- Đế dán keo.</t>
  </si>
  <si>
    <t>- Giấy mài 8";
- Độ nhám: grit 180;
- Hạt mài SiC;
- Đế dán keo.</t>
  </si>
  <si>
    <t>- Giấy mài 8";
- Độ nhám: grit 240;
- Hạt mài SiC;
- Đế dán keo.</t>
  </si>
  <si>
    <t>- Giấy mài 8";
- Độ nhám: grit 320;
- Hạt mài SiC;
- Đế dán keo.</t>
  </si>
  <si>
    <t>- Giấy mài 8";
- Độ nhám: grit 400;
- Hạt mài SiC;
- Đế dán keo.</t>
  </si>
  <si>
    <t>- Giấy mài 8";
- Độ nhám: grit 60;
- Hạt mài SiC;
- Đế dán keo.</t>
  </si>
  <si>
    <t>- Giấy mài 8";
- Độ nhám: grit 600;
- Hạt mài SiC;
- Đế dán keo.</t>
  </si>
  <si>
    <t>- Giấy mài 8";
- Độ nhám: grit 80;
- Hạt mài SiC;
- Đế dán keo.</t>
  </si>
  <si>
    <t>- Giấy mài 8";
- Độ nhám: grit 800;
- Hạt mài SiC;
- Đế dán keo.</t>
  </si>
  <si>
    <t>- Áp lực vận hành: 7bar
- Lưu lượng khí yêu cầu: 300 lít/phút
- Khối lượng 0,55 kg
- SSP 1000 hoặc tương đương</t>
  </si>
  <si>
    <t>Kích thước: 150x200x20mm
Vật liệu: PA</t>
  </si>
  <si>
    <t>Công suất lớn nhất: 385W
Số cell: 72
Điện áp hở mạch: 46.6V
Dòng ngắn mạch: 9.61A
Điện áp danh định:	37.9V
Dòng danh định: 9.11A
Chuẩn loại cell: mono-crystalline
Nhiệt độ hoạt động: – 40oC ~ 80oC
Ngưỡng điện áp cực đại: 1000V</t>
  </si>
  <si>
    <t>Giấy nhám đĩa tròn 3M cấu trúc hạt nhôm oxit trên nền film và lớp keo chịu nhiệt.
Đế dán gắn trực tiếp lên máy chà nhám/đánh bóng
Độ nhám P 1000
Kích thước 4 inch
Quy cách: 1 hộp (20 tờ)</t>
  </si>
  <si>
    <t>Kích thước: 50 cm x50cm x 50cm, Vật liệu: Inox304</t>
  </si>
  <si>
    <t>- Chất liệu: PE
- Kích thước: 20x30 cm
- 100 chiếc/túi</t>
  </si>
  <si>
    <t>- Chất liệu: PE
- Kích thước: 25x35 cm
- Đóng gói 100 chiếc/túi</t>
  </si>
  <si>
    <t>Kích thước: 6x8cm
Chất liệu: Nhựa PE
Đóng gói: 200 chiếc/túi</t>
  </si>
  <si>
    <t>- Compound đánh bóng
- Monocrystalline
- Kích thước hạt 1 um
- Trọng lượng 5 gram</t>
  </si>
  <si>
    <t>- Compound đánh bóng
- Monocrystalline
- Kích thước hạt 3 um
- Trọng lượng 5 gram</t>
  </si>
  <si>
    <t>Vật liệu thép CT4 
Chế tạo từ thanh thép V5 dài 1,2m, mạ kẽm nhúng nóng</t>
  </si>
  <si>
    <t>Vật liệu thép CT4 
Chế tạo từ thanh thép V5 kích thước 2300x25x15mm
Mạ kẽm nhúng nóng</t>
  </si>
  <si>
    <t>- Mác thép: 25XHBA
- %C: 0,22-0,28%;Si: 0,9-1,2%;Mn: 0,8-1,1%; P&lt;0,025%; S&lt;0,25% - Kích thước: 150x100x1 mm - Độ nhám bề mặt Ra ≤ 5 µm - Bề mặt không có dấu hiệu bị ăn mòn</t>
  </si>
  <si>
    <t>- Mác thép: 30XH3A
- %C: 0,28-0,34%;Si: 0,9-1,2%;Mn: 0,8-1,1%; P&lt;0,025%; S&lt;0,25%, Cr: 0,8-1,1% - Kích thước: 150x100x1 mm - Độ nhám bề mặt Ra ≤ 5 µm - Bề mặt không có dấu hiệu bị ăn mòn</t>
  </si>
  <si>
    <t>- Mác thép: C50
- %C: 0,47-0,55%;Si: 0,17-0,37%;Mn: 0,5-0,8%; P&lt;0,035%; S&lt;0,04%
- Kích thước: 150x100x1 mm
- Độ nhám bề mặt Ra ≤ 5 µm
- Bề mặt không có dấu hiệu bị ăn mòn</t>
  </si>
  <si>
    <t>Hàm lượng Cl-: ≤0.045%</t>
  </si>
  <si>
    <t>Kích thước: 50 x 100 x 3 mm
%C:0,14-0,22%; %Mn: 0,4-0,6%; %S:≤0,035%; %P:≤0,035%
Độ nhám bề mặt Ra: max.0,15 um
Độ gợn sóng bề mặt Wa: 0,20 um; Quy cách: mẫu</t>
  </si>
  <si>
    <t>- Mác thép: 45Г
- Hàm lượng: Fe: ; C: 0.42-0.5%; Si - 0,17-0,37%, Mn - 0,7-1,0%
- Kích thước: phi 70 x4000 mm
- Bề mặt không có dấu hiệu bị ăn mòn, còn mới.</t>
  </si>
  <si>
    <t>Độ xốp 45%, kích thước 100x200x3mm</t>
  </si>
  <si>
    <t>Độ xốp 50%, kích thước 100x200x3mm</t>
  </si>
  <si>
    <t>- Kích thước ngoài: Ø 380 x H 585 mm;
- Trọng lượng: 5.2 kg (+/- 0.5 kg);
- Vật liệu: HDPE – UV
- Chống bạc màu và trày xước
- Màu sắc: Xanh dương</t>
  </si>
  <si>
    <t>Kích thước: 1,2 x 0,6 x 0,8 m, vật liệu inox 304, có van xả, có nắp đậy, tấm dày 3 mm</t>
  </si>
  <si>
    <t>Chất liệu: Nhựa PE
Thùng có nắp bật, có zoăng kín
Kích thươc: 50x30x30 cm</t>
  </si>
  <si>
    <t>- Vải đánh bóng kỹ thuật PoliCloth
- Kích thước 10"
- Đóng gói 10 miếng/hộp</t>
  </si>
  <si>
    <t>Chất liệu: cotton, nhiều kích thước</t>
  </si>
  <si>
    <t>Dệt thường
Màu: Trắng</t>
  </si>
  <si>
    <t>Sử dụng khí Argon / CO2
Thân đồng mạ Crôm
Áp lực tối đa ra 0 ~ 50 psi
Lưu lượng ra 0 ~ 28 LPM</t>
  </si>
  <si>
    <t>Vật liệu : mạ crom.
Áp suất đầu vào : 0-150 Bar.
Áp suất đầu ra: 0-10bar
Điều chỉnh lưu lượng : 0-30 Lít/phút.</t>
  </si>
  <si>
    <t>-Áp suất làm việc: &lt;0.6 Mpa
- Vạch chia: 2ml
- Vật liệu: Thủy tinh chịu nhiệt nhóm TCS</t>
  </si>
  <si>
    <t>- Kích thước hạt:-45+15;
- Hình thái: dạng cầu;
- Nhiệt độ làm việc: đến 500 độ C;
- Phun plasma.</t>
  </si>
  <si>
    <t>- Màu sắc: màu trắng - Kích thước: size L - Chất liệu: 35% cotton + 65% dacron, size XL - OEM hoặc tương đương</t>
  </si>
  <si>
    <t>Vật liệu EPE siêu nhẹ, bề mặt cloropren cao su Neoprene, độ dày 2.5mm</t>
  </si>
  <si>
    <t>- Kích thước 19 cm, chất liệu: nhựa, cước. - PH hoặc tương đương</t>
  </si>
  <si>
    <t>Cán gỗ, cọ đồng: 2,5 x 8 cm</t>
  </si>
  <si>
    <t>Bàn chải bằng nhựa mềm</t>
  </si>
  <si>
    <t>Thủy tinh borosilicate
IsoLab hoặc tương đương</t>
  </si>
  <si>
    <t>- Dung tích: 250ml;
- Cổ nhám NS: 24/29;
- Đường kính: 85mm;
- Chiều cao: 140mm;
- Bình cầu có đáy bằng, cổ nhám.</t>
  </si>
  <si>
    <t>Thủy tinh borosilicate, vỉ sứ, dung tích 10L
Duran hoặc tương đương</t>
  </si>
  <si>
    <t>Thủy tinh borosilicatevỉ sứ, dung tích 5,8L</t>
  </si>
  <si>
    <t>Thủy tinh borosilicate
Duran hoặc tương đương</t>
  </si>
  <si>
    <t>-Thủy tinh trong suốt
-Dung tích: 10ml</t>
  </si>
  <si>
    <t>- Thủy tinh borosilicate, vỉ inox - Dung tích: 5.8L - Đường kính: 200mm - Duran hoặc tương đương</t>
  </si>
  <si>
    <t>- Bình hút ẩm có vòi, gờ mài bằng, có vòi, thủy tinh borosilicate 3.3;
- Các thành phần được hút chân không chặt;
- Đường kính: 250;
- Cao: 344mm;
- Dung tích 10,5 lít.</t>
  </si>
  <si>
    <t>- Hạn sử dụng: 40 năm
- Vật liệu bình: thép 30ХГСА
- Dài: 1350mm
- Đường kính: 219 mm</t>
  </si>
  <si>
    <t>Dung tích 1 lít, 2 cổ cỡ L
Thủy tinh borosilicate
IsoLab hoặc tương đương; Quy cách: cái</t>
  </si>
  <si>
    <t>Dung tích 2 lít, 2 cổ cỡ L
Thủy tinh borosilicate
IsoLab hoặc tương đương; Quy cách: cái</t>
  </si>
  <si>
    <t>Thủy tinh borosilicate</t>
  </si>
  <si>
    <t>-Thủy tnh trong suốt, có 3 cổ (three neck)
-Dung tích 1L</t>
  </si>
  <si>
    <t>- pH dải đo: 2-14; - Độ chính xác ±0.01+1 digit; - Độ phân giải: 0.01 pH; - Dải chết: 0.00 to 2.00 pH; - Nhiệt độ: Dải đo: 0~110 °C; - Độ chính xác: ±0.2+1 digit; - Độ phân giải: 0.1 °C - Ezdo MP-103 hoặc tương đương</t>
  </si>
  <si>
    <t>-Dung tích: 20L
-Nguyên liệu: HDPE
-Màu sắc: Trắng</t>
  </si>
  <si>
    <t>-Dung tích: 5L
-Nguyên liệu: HDPE
-Màu sắc: Trắng</t>
  </si>
  <si>
    <t>- Thủy tinh borosilicate, có chia vạch, dung tích 250ml - Duran hoặc tương đương</t>
  </si>
  <si>
    <t>Vật liệu: Nhựa PP
Thể tích: 200 ml
Có chia vạch, có đầu rót và tay cầm</t>
  </si>
  <si>
    <t>Vật liệu: Nhựa PP
Thể tích: 500 ml
Có chia vạch, có đầu rót và tay cầm</t>
  </si>
  <si>
    <t>Vật liệu: Nhựa PP
Thể tích: 50 ml
Có chia vạch, có đầu rót và tay cầm</t>
  </si>
  <si>
    <t>- Thủy tinh borosilicate, có chia vạch, dung tích 0.5L - Duran hoặc tương đương</t>
  </si>
  <si>
    <t>Thủy tinh borosilicate
Duran hoặc tương đương; Quy cách: cái</t>
  </si>
  <si>
    <t>Thủy tinh borosilicate
IsoLab hoặc tương đương; Quy cách: cái</t>
  </si>
  <si>
    <t>- Thủy tinh borosilicate, có chia vạch, dung tích 1L - Duran hoặc tương đương</t>
  </si>
  <si>
    <t>- Thủy tinh borosilicate, có chia vạch, dung tích 2L</t>
  </si>
  <si>
    <t>- Thủy tinh borosilicate, có chia vạch, dung tích 250 ml</t>
  </si>
  <si>
    <t>- Thủy tinh borosilicate, có chia vạch, dung tích 500 ml</t>
  </si>
  <si>
    <t>Thủy tinh borosilicate, trong suốt, vai nghiêng, có chia vạch.
Nắp vặn nhựa PP chịu nhiệt đến 140oC
IsoLab hoặc tương đương</t>
  </si>
  <si>
    <t>Thủy tinh borosilicate, trong suốt, vai nghiêng, có chia vạch.
Nắp vặn nhựa PP chịu nhiệt đến 140oC
IsoLab hoặc tương đương; Quy cách: cái</t>
  </si>
  <si>
    <t>- Kích thước: 200x30mm</t>
  </si>
  <si>
    <t>- Cao su chịu axit, dung môi - Kích cỡ: L - Ammex hoặc tương đương</t>
  </si>
  <si>
    <t>Hàm lượng bột ≤ 2mg/dm2
Độ dày: 0,01 mm
Size L
Đóng gói: 100 chiếc/hộp</t>
  </si>
  <si>
    <t>Chất liệu: Cao su nhân tạo
Hàm lượng bột: max. 2mg/dm2
Size M
Đóng gói: 100 cái/hộp</t>
  </si>
  <si>
    <t>- Dài 34 cm, rộng 18 cm
- Chất liệu kết hợp sợi Meta-Aramid và lá nhôm chống cắt, chống cháy, chịu nhiệt độ cao</t>
  </si>
  <si>
    <t>- Chịu nhiệt tới 300 C, chất liệu: sợi Meta-Aramid và lá nhôm chống cắt, chống cháy, dài 34 cm, rộng 18 cm - Castong hoặc tương đương</t>
  </si>
  <si>
    <t>- Kích cỡ: XL
- Chất liệu: vải thô 1 lớp
- Chịu nhiệt tới 100oC</t>
  </si>
  <si>
    <t>- Chất liệu: vải sợi, kết cấu 2 lớp;
- Size: XL;
- Quy cách:10 đôi/túi</t>
  </si>
  <si>
    <t>Chất liệu: vải sợi, kết cấu 2 lớp
Size: L
Đóng gói 10 đôi/túi</t>
  </si>
  <si>
    <t>- Size: XL
- Chất liệu: vải thô 2 lớp
- 10 đôi/hộp</t>
  </si>
  <si>
    <t>Nguyên liệu chính: cao su tự nhiên (latex)
Chiều dài: 24 cm
Trọng lượng: 5.1 g / chiếc (size M)</t>
  </si>
  <si>
    <t>Giấy lọc định tính số 1, lọc trung bình - nhanh, kích thước lỗ lọc 11µm, đường kính 25mm</t>
  </si>
  <si>
    <t>Kích thước: 25 mm x 25 mm
Độ giữ hạt trong chất lỏng: 1,6 um
Độ dày 260 um
Tốc độ lọc: 62 giây; Quy cách: hộp</t>
  </si>
  <si>
    <t>Giấy lọc định tính số 1, lọc trung bình - nhanh, kích thước lỗ lọc 11µm, đường kính 185mm</t>
  </si>
  <si>
    <t>- Độ dày: 0.18 mm - Tốc độ thấm: 125ml/ 30phút - Kích thước giấy: 46x57 cm - Đóng gói: 100 cái/hộp
- Standard grade 601 hoặc tương đương</t>
  </si>
  <si>
    <t>- Bộ lọc than hoạt tính, có 2 van một chiều. - NeoShield hoặc tương đương</t>
  </si>
  <si>
    <t>- Chất liệu: Vải không dệt lọc bụi 4 lớp, gòn lọc bụi, lớp lọc than hoạt tính, lớp vải thấm mồ hôi</t>
  </si>
  <si>
    <t>Chất liệu: Vải kháng khuẩn 4 lớp
Đóng gói: 50 cái/hộp</t>
  </si>
  <si>
    <t>- Lớp ngoài: Vải dệt kim cao su (Neoprene): Nylon +SBR
- Bộ lọc bao gồm 3 lớp: 
+ Lớp thứ 1 và lớp thứ 3: Vải không dệt 100% PP
+ Lớp thứ 2: Than hoạt tính dạng sợi (Fiber) 100% charcoal.</t>
  </si>
  <si>
    <t>Kích thước khẩu trang 175 x 95 mm
3 lớp, hộp 50 cái</t>
  </si>
  <si>
    <t xml:space="preserve">Bầu thủy ngân, nhám 14/19, dải đo: -10 đến 360oC, chia vạch 1oC </t>
  </si>
  <si>
    <t>Vật liệu thuỷ tinh an toàn, Dải đo 0-200oC, độ phân giải 0,2 oC.</t>
  </si>
  <si>
    <t>Chiều dài: 14cm
Chất liệu: Thép inox không gỉ 316</t>
  </si>
  <si>
    <t>- Class A, Thủy tinh borosilicate, dung tích 100ml, chia vạch 2ml - Duran hoặc tương đương</t>
  </si>
  <si>
    <t>- Thủy tinh borosilicate, có chia vạch, dung tích 200ml</t>
  </si>
  <si>
    <t>-Đường kính 40mm, chiều dài 200mm
- Kích thước lỗ khí: 40 µm
-Vật liệu: Thủy tinh chịu nhiệt nhóm TCS
- Đáp ứng tiêu chuẩn GOST 25336-82 hoặc tương đương</t>
  </si>
  <si>
    <t>- Chiều dài: 20 cm, chất liệu Inox316
- IsoLab hoặc tương đương</t>
  </si>
  <si>
    <t>Quy cách: Cuộn
Nhiệt độ hoạt động: -45 ÷ +50 ºC
Kích thước : 5cm*76m
Chất liệu : giấy parafilm
Độ giãn : 200%</t>
  </si>
  <si>
    <t>- Class AS, Thủy tinh borosilicate - Duran hoặc tương đương</t>
  </si>
  <si>
    <t>Vật liệu: cao su
3 van, đường kính trong của van 6 mm</t>
  </si>
  <si>
    <t>Thủy tinh borosilicate, nhám 29/32
IsoLab hoặc tương đương</t>
  </si>
  <si>
    <t>-	Cạnh dài của thước có tích hợp nam châm 
-	Chất liệu thước: nhựa ABS 
-	Phạm vi đo: đo góc độ từ 0-130° (50°-90°-0°-90°-50°), góc phút 1-8, 10%-12%-15%-18%-20%
-	Sai số: 1° 
-    Kích thước: 25 x 12.5 x 25 cm</t>
  </si>
  <si>
    <t>Dung lượng danh định: 100Ah
Nội trở (I.R): &lt; 4 mΩ
Điện cực: F18, Lỗ 8
Dòng lớn nhất: &lt; 30A
Nhiệt độ làm việc:	-15°C đến 50°C		
Tự phóng điện: 1 tháng còn 98%</t>
  </si>
  <si>
    <t>Kích thước: (100 × 100 × 0.2) cm
Hàm lượng Cu: 62%-65%
Hàm lượng Zn: 34,22%-37,5%
Độ bền kéo: 290 -390 MPa
Độ cứng HB: 70-130 MPa
Đáp ứng tiêu chuẩn GOST 931:1990</t>
  </si>
  <si>
    <t>- Điện áp 18-80VDC; - Dòng 2,6 đến 7,2A; - Tín hiệu ngõ vào dạng TTL; - Có cách ly Opto. - Leadshine DM860 hoặc tương đương</t>
  </si>
  <si>
    <t>- Ngõ vào/ra: 24-DC input / 16-Relay output; - Bộ nhớ chương trình: 2Ksteps (EEPROM); - Vùng nhớ dữ liệu DM: 2Kwords; - Số lượng timers / counters: 256; - Tốc độ xử l‎ý: Lệnh cơ bản (LD): 1.19 µs min; Lệnh cao cấp (MOV): 7.90 µs min.; - Ngõ vào interrupt: 6 inputs (độ rộng xung 50µs min.); - Ngõ vào tác động nhanh: 6 inputs (độ rộng xung 50µs min.); - Trang bị cổng USB 2.0. - Omron hoặc tương đương</t>
  </si>
  <si>
    <t>- Nguồn cấp: 24 VDC
- Ngõ vào/ra: 12-DC input /8 Transistor NPN Output
- Bộ nhớ chương trình: 8Ksteps (EEPROM)
- Vùng nhớ dữ liệu DM: 8Kwords
- Số lượng timers / counters: 256
- Tốc độ xử l‎ý: Lệnh cơ bản (LD): 1.19 µs min.; Lệnh cao cấp (Mov): 7.90 µs min.
- Ngõ vào tốc độ cao: Incremental: 100 kHz x 6 counters; Up/down: 100kHz x 2 counters; Pulse + Direction
- input: 100kHz x 2 counters; Differential phase input: 50 kHz x 1 counter, 5 kHz x 1 counter
- Ngõ vào interrupt: 6 inputs (độ rộng xung 50µs min.)
- Ngõ vào tác động nhanh: 6 inputs (độ rộng xung 50µs min.)
- Ngõ ra xung (transistor output): Pulse + Direction Mode, 1Hz ~ 100 kHz: 2 outputs. Continuous mode (điều khiển tốc độ), Independent mode (điều khiển vị trí)
- Tiêu chuẩn: EC, EMC (zone B), JIS</t>
  </si>
  <si>
    <t>Đèn báo: Đỏ, xanh
Đồng hồ V, đồng hồ A
Đèn báo hoạt động (Đèn Run), đèn báo dừng (Đèn Stop)
Nút ấn chạy (Start), nút ấn dừng (Stop), công tắc chuyển mạch (Auto - Man)
Aptomat tổng chịu tải 75 A, số lượng 3 cái
Khởi động từ (Contactor và rơ le nhiệt), chịu được tải 50 A, số lượng 3 cái
Rơ le bảo vệ mất pha, ngược pha, quá áp, thấp áp
Số cổng điều khiển: 03
Công suất tối đa: 1,5 kW</t>
  </si>
  <si>
    <t>- Dạng U, dài 120 cm, vật liệu Inox316, đường kính 15 mm</t>
  </si>
  <si>
    <t>- Dài 127mm; - Nguồn điện trong phạm vi 100 đến 500V - Stanley hoặc tương đương</t>
  </si>
  <si>
    <t>- Cáp ruột bằng đồng lõi 2x2,5 mm2; -- 2 lớp vỏ cách điện PVC; - Điện áp chịu tải tối đa 450VAC. - Daphaco hoặc tương đương</t>
  </si>
  <si>
    <t>- Công tắc chuyển đổi chế độ Pul/Dir hoặc Double Pulse
- Điện áp cung cấp: 80-220VAC
- Dòng điện ra (Peak): 1.8-8.2A
- Tần số đáp ứng cao nhất 200KHz</t>
  </si>
  <si>
    <t>- Thanh tròn phi 16 mm x 1200 mm;
- Hàm lượng crom 0,6 đến 1,2 %</t>
  </si>
  <si>
    <t>- Tỉ số 57/11; - Điện áp cấp tối đa 24VDC; - Dòng sử dụng tối đa 1,7A; - Moment xoắn 30kgf.cm - Nema hoặc tương đương</t>
  </si>
  <si>
    <t>- 2 pha;
- Dòng: 6A;
- Mômen: 75N.cm;
- Chiều dài motor: 201mm;
- Trọng lượng 12 kg.</t>
  </si>
  <si>
    <t>- Kích thước: 235X178MM; - Nhựa chống cháy. - LIOA hoặc tương đương</t>
  </si>
  <si>
    <t>- Điện áp ra: 0-30VDC, dòng ra 0-3A; - Điện áp vào 220VAC-50/60HZ; - Độ phân giải 100mV/10mA. - QJE hoặc tương đương</t>
  </si>
  <si>
    <t>- Điện áp hoạt động: 220V-10A; - Công suất chịu tải 2500W; - Chiều dài 5m, 2 lỗ cắm; - Vỏ nhựa ABS chịu nhiệt. - Điện Quang hoặc tương đương</t>
  </si>
  <si>
    <t>- Điện áp hoạt động: 220V-6A; - Vỏ nhựa ABS chịu nhiệt; - 2 chân cắm tròn. - Điện Quang hoặc tương đương</t>
  </si>
  <si>
    <t>Dạng cảm biến: K , Pt100 
Dải đo lường :  -100 .. 600 °C
Dạng điều khiển: ON-OFF, PID 
Ngõ ra : Relay (NO + NC), 250VAC, 2A
Ngõ ra cảnh báo: Relay (NO + NC), 250VAC, 2A
Nhiệt độ hoạt động : 0 .. 50 °C
Điện áp hoạt động: 220VAC
Tần số hoạt động: 50Hz 
Hanyoung DX2 hoặc tương đương</t>
  </si>
  <si>
    <t>Nhiệt độ làm việc: -40°C ~ +100°C
Thể tích: 520 ml
Thành phần: Hỗn hợp cao su tổng hợp, dung môi, phụ gia đặc biệt, khí đẩy
Độ bền điện ở tần số 50Hz: 5 kW/mm</t>
  </si>
  <si>
    <t>Áp suất hơi: 0.71 psi ( 20 °C)
Độ tinh khiết: 99%
Tỉ khối: 1.302 g/mL at 25 °C (lit.)
Chuỗi SMILES CC(=C)C(=O)OC(C(F)(F)F)C(F)(F)F</t>
  </si>
  <si>
    <t>- Chất rắn màu trắng
- Độ tinh khiết: ≥99%
- Nhiệt nóng chảy: 97-99 °C
- Áp suất hơi: 0,04 mmHg</t>
  </si>
  <si>
    <t>Độ tinh khiết: 95%,  chất ổn định 100ppm  MEHQ
Khối lượng riêng:      1.317 g/mL ở 25 °C
Sigma aldrich hoặc tương đương</t>
  </si>
  <si>
    <t>Độ tinh khiết: 97%
Hệ số phản xạ: n20/D 1.341 (lit.)
Nhiệt độ sôi: 134-136 °C (lit.)
Tỉ khối: 1.345 g/mL at 25 °C (lit.)
Chuỗi SMILES:
CC(=C)C(=O)OCC(F)(F)C(F)(F)C(F)(F)F</t>
  </si>
  <si>
    <t>-Độ tinh khiết: 97%
-Nhiệt độ nóng chảy:  177-181 °C (lit.)</t>
  </si>
  <si>
    <t>-Độ tinh khiết: 97%
-Nhiệt độ nóng chảy: 80-82 °C (lit.)
-Nhiệt độ sôi: 210-212 °C/12 mmHg (lit.)</t>
  </si>
  <si>
    <t>- Độ tinh khiết: ≥99.0%
- Áp suất hơi: 184 mmHg ( 20 °C)</t>
  </si>
  <si>
    <t>Độ tinh khiết: ≥99.7 %
Nhiệt độ sôi: 56 ºC
Khối lượng riêng:   0.791 g/mL ở 25 °C
Sigma aldrich hoặc tương đương</t>
  </si>
  <si>
    <t>Độ tinh khiết: 99.7 %
Nhiệt độ sôi: 56 ºC
Khối lượng riêng:   0.791 g/mL ở 25 °C
Sigma aldrich hoặc tương đương</t>
  </si>
  <si>
    <t>Độ tinh khiết: ≥ 99%
Scharlau hoặc tương đương; Quy cách: chai1L</t>
  </si>
  <si>
    <t>Độ tinh khiết: ≥ 99%
Merck hoặc tương đương</t>
  </si>
  <si>
    <t>- Độ tinh khiết:  ≥99.8%
- Nhiệt độ sôi: 56ᴼC</t>
  </si>
  <si>
    <t>- Độ tinh khiết: &gt;99.5%
- Nhiệt độ sôi: 56 – 57 °C
- Định lượng: 500ml/chai</t>
  </si>
  <si>
    <t>- Độ tinh khiết: 98%
- Khối lượng riêng: 1,049 g/cm3
- Nhiệt độ nóng chảy: 16,5°C</t>
  </si>
  <si>
    <t>- Độ tinh khiết: ≥99%
- Khối lượng phân tử : 192,123 g/mol</t>
  </si>
  <si>
    <t>- Độ tinh khiết: 20%
- Trạng thái: lỏng, nhớt, không màu, không mùi
- khối lượng phân tử: 90.08</t>
  </si>
  <si>
    <t>- pH: 7.1 - 7.5
- Dạng: bột, rắn</t>
  </si>
  <si>
    <t>- Độ tinh khiết: ≥99,99%
- Điểm sôi: 212 °C</t>
  </si>
  <si>
    <t>Độ tinh khiết: ≥ 57-74%</t>
  </si>
  <si>
    <t>- Khối lượng riêng: 1.98 g/cm3 (20 °C)
- Nhiệt độ nóng chảy: 120 °C (phân hủy)
- Độ tinh khiết: ≥ 98.0 %</t>
  </si>
  <si>
    <t>-Độ tinh khiết: ≥97%
-Nhiệt độ nóng chảy:  185 °C (dec.) (lit.)</t>
  </si>
  <si>
    <t>-Độ tinh khiết:  ≥ 99% 
-Điểm nóng chảy:  &gt; 300 °C
-pH: 4,5 - 6,0  (ở 62.6 g/l ở 25 °C)
-Tỷ trọng tương đối: 1,72  (20,1 °C)</t>
  </si>
  <si>
    <t>- Chất lỏng không màu đến vàng nhạt
- Axit hoạt tính: 49-51%
- pH: 1,5-1,9 (dung dịch nước 1%) 
- Khối lượng riêng: 1,27-1,31g/cm3 (20°C)</t>
  </si>
  <si>
    <t>- Chất lỏng trong suốt
- Độ tinh khiết: ACS, 99,8 %</t>
  </si>
  <si>
    <t>-Độ tinh khiết:  ≥ 98% 
-Điểm nóng chảy: 122 °C</t>
  </si>
  <si>
    <t>- Tinh thể màu trắng
- Độ tinh khiết: ≥ 99,5%
- Nhiệt độ nóng chảy: 153-159°C
- Khối lượng riêng: 2,36 g/cm3 (20 °C)</t>
  </si>
  <si>
    <t>- Dạng ngoài: Chất lỏng trong suốt
- Độ tinh khiết: 36,5 - 38,0 %
- Hàm lượng Br-: ≤0.005%</t>
  </si>
  <si>
    <t>- Dạng ngoài: Chất lỏng trong suốt
- Độ tinh khiết: ≥37 %
- Hàm lượng Br-: ≤0.005%</t>
  </si>
  <si>
    <t>-Độ tinh khiết:  ≥ 99% (HPLC)
-Nhiệt độ nóng chảy:  130-135  °C
-pH: 1,3 (ở 100 g/l ở 20 °C)
-Khối lượng riêng:  1,59 g/cm3 (25  °C)</t>
  </si>
  <si>
    <t>Nồng độ:  ≥65%
Nhiệt độ sôi:  120.5 °C (lit.)
Khối lượng riêng:   1.37-1.41 g/mL ở 20 °C
Nồng độ anion chloride (Cl-): ≤0.5 mg/kg
  phosphate (PO43-): ≤0.5 mg/kg
  sulfate (SO42-): ≤0.5 mg/kg
Sigma aldrich hoặc tương đương</t>
  </si>
  <si>
    <t>-Độ tinh khiết: 97%
-Nhiệt độ nóng chảy: 237-240 °C</t>
  </si>
  <si>
    <t>- Điểm sôi: 158°C (1013 mbar)
- Tỉ trọng: 1,71 g / cm3 (20°C)
- Độ nóng chảy: 21°C
 - Giá trị pH: &lt;0,5 (100 g / l, H2O, 20°C)
- Áp suất hơi; 2 hPa (20°C)
- Độ nhớt động học: 30,5 mm2/s (20°C)
- Độ tinh khiết: ACS, 85 % - Bao gói: chai 1L - MERCK hoặc tương đương</t>
  </si>
  <si>
    <t>Độ tinh khiết: ≥ 98%
Scharlau hoặc tương đương; Quy cách: chai1L</t>
  </si>
  <si>
    <t>- Độ tinh khiết: 95% - 98%
- Khối lượng phân tử: 98,07 g/mol
- Tỷ trọng: 1.8302 g/cm3</t>
  </si>
  <si>
    <t>- Chất lỏng trong suốt
- Độ tinh khiết: 95 - 97%</t>
  </si>
  <si>
    <t>Nồng độ:  99.999%
Nhiệt độ sôi: 290 °C
Khối lượng riêng   1.840 g/mL ở  25 °C 
Thành phần anion
MnO4: ≤2 ppm
  chloride (Cl-): ≤0.2 ppm
  nitrate (NO3-): ≤0.5 ppm
Thành phần cation
As: ≤0.01 ppm
  Fe: ≤0.2 ppm
  Hg: ≤5 ppb
  NH4+: ≤2 ppm
  Kim loại nặng (Pb): ≤1 ppm
Quy cách: Chai 2,5L
Sigma aldrich hoặc tương đương</t>
  </si>
  <si>
    <t>Độ tinh khiết: ≥ 97%; Quy cách: lọ1kg</t>
  </si>
  <si>
    <t>Thể tích: 300 ml
Dầu silicon: 99%</t>
  </si>
  <si>
    <t>Chất làm đặc: Vô cơ
Dầu gốc: Methylpolysiloxane
Màu sắc: Trắng ngà
Chịu nước: 3 giờ ở 90ºC
Khối lượng riêng ở 25ºC: 0.95 g/cm3
Nhiệt độ làm việc: – 50oC ~ 180oC</t>
  </si>
  <si>
    <t>Độ tinh khiết: ≥ 99%
Áp suất hóa hơi ở 20 oC: 2,7 hPa
Điểm chảy: 185 oC; Quy cách: lọ1kg</t>
  </si>
  <si>
    <t>Công suất danh định: 850VA
Công suất đỉnh: 1700VA / 50 ms
Dòng không tải: &lt; 600mA
Điện áp vào Accu: 24 V DC
Dải điện áp làm việc: 21 - 29  VDC
Dạng sóng: sine
Độ méo: &lt;  3 %
Điện áp ra: 220V AC (± 3%)
Tần số: 50 Hz
Hiệu suất: 92 %
Bảo vệ: ngắn mạch, quá tải</t>
  </si>
  <si>
    <t>- Độ trắng: ≥88%
- Kích thước hạt: ≤125 micron</t>
  </si>
  <si>
    <t>- Độ tinh khiết: ≥99,5%
- Áp suất hơi: 5.5 mmHg</t>
  </si>
  <si>
    <t>- Độ tinh khiết: ≥99.0%
- Điểm sôi: 	44 °C</t>
  </si>
  <si>
    <t>Độ tinh khiết ≥96%
pH 12.4-12.6 (20 °C)
tỉ khối 2.24 g/mL at 25 °C (lit.)
Hàm lượng anion:
chloride (Cl-): ≤50 mg/kg
sulfate (SO42-): ≤500 mg/kg</t>
  </si>
  <si>
    <t>- Độ tinh khiết : ≥ 99,0%, dạng bột
- Khối lượng riêng 2,93 g/cm3 (25 °C)
- Độ pH: 8,0</t>
  </si>
  <si>
    <t>- Độ tinh khiết: ≥99%
- Độ pH: 5.0-7 (25 °C, 36.4 g/L)</t>
  </si>
  <si>
    <t>- Độ tinh khiết: ≥99,5%
- Áp suất hơi: 160 mmHg ( 20 °C)</t>
  </si>
  <si>
    <t>- Khối lượng riêng (20 ᴼC): 0.96 kg/dm3
-Độ nhớt, cSt
+ ở 0 °С - 85
+ ở 20 °С - 50
+ ở 100 °С - 15
- Đáp ứng chuẩn: ТУ 2229-010-42942526-00 hoặc tương đương</t>
  </si>
  <si>
    <t>-Độ tinh khiết: 98%
-Nhiệt độ nóng chảy: 177-181 °C
-Khối lượng riêng: 1.42 g/cm3 (20 °C)</t>
  </si>
  <si>
    <t>-Độ tinh khiết: 98%
-Nhiệt độ nóng chảy: 80-82 °C
-Nhiệt độ sôi: 210-212 °C 12 mm Hg</t>
  </si>
  <si>
    <t>Nồng độ: 1.0N
Nhiệt độ sôi: &gt;100ºC
Màu: Vàng sáng
Dung môi: Nước
Khối lượng riêng: 1,2 g/ml
Hàm lượng cation: Fe: ≤0.2 ppm; kim loại nặng (ví dụ Pb): ≤1 ppm
Sigma aldrich hoặc tương đương</t>
  </si>
  <si>
    <t>- Dạng ngoài: Chất lỏng trong suốt, không màu - Nồng độ 0.1N - Bao gói: chai 1L</t>
  </si>
  <si>
    <t>Nồng độ: 2.0N
Nhiệt độ sôi:  120.5 °C (lit.)
Khối lượng riêng:   1.37-1.41 g/mL ở 20 °C
Nồng độ anion chloride (Cl-): ≤0.5 mg/kg
  phosphate (PO43-): ≤0.5 mg/kg
  sulfate (SO42-): ≤0.5 mg/kg
Sigma aldrich hoặc tương đương</t>
  </si>
  <si>
    <t>-Độ tinh khiết: 98%
-Nhiệt độ nóng chảy:  44-46 °C</t>
  </si>
  <si>
    <t>Supelco hoặc tương đương</t>
  </si>
  <si>
    <t>-Độ tinh khiết: ≥99.9%
-Áp suất hơi:  0.08 mmHg</t>
  </si>
  <si>
    <t>- Dùng để pha 1L dung dịch HCl 0,1N
- Hạn sử dụng: 3 năm</t>
  </si>
  <si>
    <t>- Dùng để pha 1L dung dịch NaOH 0.1N
- Hạn sử dụng: 3 năm</t>
  </si>
  <si>
    <t>-Độ tinh khiết: ≥99%
-Nhiệt độ nóng chảy: 232-235 °C</t>
  </si>
  <si>
    <t>-Độ tinh khiết: ≥99%
-Nhiệt độ sôi: 237 °C
-Áp suât hơi:  1 mmHg ( 78 °C)</t>
  </si>
  <si>
    <t>-Độ tinh khiết: 98%
-Nhiệt độ nóng chảy: 237-240 °C</t>
  </si>
  <si>
    <t>-Độ tinh khiết: ≥99.0%
-Áp suất hơi:  0.01 mmHg</t>
  </si>
  <si>
    <t>Hệ sơn: Sơn chống rỉ
Đóng gói: Bộ 17.5 lít
Độ che phủ:  10,50m2/lít/lớp
Thời gian khô: 
- Khô bề mặt: 30 phút ở 30 độ C
- Khô cứng: 8 giờ ở 30 độ C
Thời gian sơn lớp kế tiếp: 
- Tối thiểu: 6 giờ ở 30 độ C. 
-Tối đa: 60 ngày</t>
  </si>
  <si>
    <t>- Chất lỏng không màu
- pH: 6,0-7,0
- Nhiệt sôi: &gt; 149 °C
- Khối lượng riêng: 1,006 g/cm3 (25 °C)</t>
  </si>
  <si>
    <t>Dạng tinh thể rắn Độ tinh khiết: 99% Nhiệt độ sôi: 102 - 104 ºC Sigma aldrich hoặc tương đương</t>
  </si>
  <si>
    <t>pH=7, Kiểm soát sự phát triển của vi sinh vật; 
Tỷ lệ pha: 25 nước cất : 1 dầu cắt gọt 
Thể tích chai: 946 ml
Leco Tech Cool SYN hoặc tương đương</t>
  </si>
  <si>
    <t>- Màu sắc:Màu vàng nâu; 
- Tỷ trọng (15/4°C)0.8; 
- Độ nhớt động học (40°C, cSt):2.5; 
- Điểm chớp cháy (°C):60.</t>
  </si>
  <si>
    <t>Hàm lượng nước: ≤ 1%; Quy cách: chai1kg</t>
  </si>
  <si>
    <t>Hàm lượng axit béo tự do (Oleic): 0,10% max
Chỉ số Iot (Wijs): 125 - 130; Quy cách: chai1kg</t>
  </si>
  <si>
    <t>Chỉ số I-ốt (Wijs): 105 - 115
Chai 1 kg; Quy cách: chai1kg</t>
  </si>
  <si>
    <t>Chỉ số I-ốt (Wijs): 118- 135; Quy cách: chai1kg</t>
  </si>
  <si>
    <t>Hệ số độ nhớt: 150 SUS; Quy cách: hộp10L</t>
  </si>
  <si>
    <t>Độ nhớt động học: 29-35
Hàm lượng lưu huỳnh max.1.1%
Hàm lượng tro max.0.005%
Điểm chớp cháy: 200 oC; Quy cách: can20L</t>
  </si>
  <si>
    <t>Khối lượng riêng ở 15 oC: 865,4 kg.m3
Điểm chớp cháy: 210 oC
Hàm lượng lưu huỳnh &gt;0,03 %
Hệ số độ nhớt: 90-92; Quy cách: hộp10L</t>
  </si>
  <si>
    <t>Khối lượng riêng ở 15 oC: 0,8621 g/cm3
Điểm chớp cháy: 150,4 oC
Hàm lượng lưu huỳnh 0,072 %
Hệ số độ nhớt: 90; Quy cách: hộp10L</t>
  </si>
  <si>
    <t>- Màu sắc: Màu nâu đậm - Tỷ trọng: 0.832 - Độ nhớt động học: 16.2 - Điểm chớp cháy: 205°C - Hàm lượng nước (ppm): 77 - Tính năng làm mát (80°C): 610</t>
  </si>
  <si>
    <t>-Độ tan:  (20 ᴼC): ≈ 50 g/l
-pH(5%, H2O): 2.0-8.0</t>
  </si>
  <si>
    <t>- Độ tinh khiết: ≥99,8%
- Áp suất hơi: 	6.86 psi ( 20 °C)</t>
  </si>
  <si>
    <t>-Độ tinh khiết: ≥98.0%
-Áp suất hơi:  &lt;0.98 atm ( 100 °C)</t>
  </si>
  <si>
    <t>Độ tinh khiết: ≥ 99%
Scharlau hoặc tương đương; Quy cách: chai1kg</t>
  </si>
  <si>
    <t>- Độ tinh khiết ≥ 99,7%
- Khối lượng riêng: 0,71 g/cm3 ở 20 °C</t>
  </si>
  <si>
    <t>Độ tinh khiết: 99.7%,
Nhiệt độ sôi:  34.6 ºC
Khối lượng riêng: 0.706 g/mL ở 25 °C
Chai 1 lít
Sigma aldrich hoặc tương đương</t>
  </si>
  <si>
    <t>- Độ tinh khiết ≥99,8%
- Khối lượng mol: 73,09 g/mol
- Điểm sôi: 153 °C ở 1.013 hPa</t>
  </si>
  <si>
    <t>- Độ tinh khiết: ≥99,5%
- Khối lượng mol: 88.11 g/mol
- Điểm nóng chảy: 12 ° C</t>
  </si>
  <si>
    <t>- Độ tinh khiết: ≥99,5%
- Khối lượng mol: 78.13 g/mol</t>
  </si>
  <si>
    <t>Dùng để lau bụi, mốc trên thị kính, vật kính, lăng kính; Quy cách: chai 50ml</t>
  </si>
  <si>
    <t>-Độ tinh khiết:  ≥99% (CP)
-Áp suất hơi: 184 mmHg ( 20 °C)</t>
  </si>
  <si>
    <t>-Độ tinh khiết: ≥99.00%
-Nhiệt độ sôi:  60.9 °C (lit.)</t>
  </si>
  <si>
    <t>-Độ tinh khiết: 99%
-Nhiệt độ sôi:  189 °C (lit.)</t>
  </si>
  <si>
    <t>-Độ tinh khiết: ≥98%
-Nhiệt độ nóng chảy:  220 ᴼC
-Áp suất hơi:  (20 ᴼC) &lt; 0,013 hPa</t>
  </si>
  <si>
    <t>- Độ tinh khiết:  ≥99.5%
- Nhiệt độ sôi: 78.3oC
- Bao gói: chai 2,5L</t>
  </si>
  <si>
    <t>Độ tinh khiết: ≥ 95%
Chai 1 lít
Merck hoặc tương đương</t>
  </si>
  <si>
    <t>- Độ tinh khiết: ≥96%
- Khối lượng mol: 46.07 g/mol</t>
  </si>
  <si>
    <t>Độ tinh khiết: 96% 
Đóng gói: Can 5 lít</t>
  </si>
  <si>
    <t>Độ tinh khiết: 99.5%,
Nhiệt độ sôi:    78.3 ºC
Khối lượng riêng: 0.789 g/mL ở 25 °C
Sigma aldrich hoặc tương đương</t>
  </si>
  <si>
    <t>- Độ tinh khiết: ≥99,5%
- Khối lượng mol: 88,11 g/mol</t>
  </si>
  <si>
    <t>-Độ tinh khiết: 99%
-Nhiệt độ sôi:170-172 ᴼC
-Nhiệt độ đông đặc: -70ᴼC</t>
  </si>
  <si>
    <t>- Tinh thể màu trắng
- Độ tinh khiết: 98.5-101.5%
- Điểm nóng chảy: 248°C</t>
  </si>
  <si>
    <t>- Khối lượng mol: 198.17 g/mol
- Độ pH: 6 - 7 (100 g/l, H₂O, 20 °C)
- Điểm nóng chảy: 83 °C</t>
  </si>
  <si>
    <t>- Nồng độ: ≥ 99,5 %
- Khối lượng mol: 92.1 g/moll
- Mật độ: 1,25 g/ml ở 20°C</t>
  </si>
  <si>
    <t>-Độ tinh khiết: 99,5%
-Nhiệt độ nóng chảy:  18 ᴼC
-Nhiệt độ sôi:  (0,09 hPa) 120 ᴼC
-Áp suất hơi:  (20 ᴼC) &lt; 0,001 hPa</t>
  </si>
  <si>
    <t>Độ tinh khiết: 97 %,  chất ổn định 100ppm
Nhiệt độ sôi:  189 ºC
Khối lượng riêng:    1.042 g/mL ở 25 °C
Sigma aldrich hoặc tương đương</t>
  </si>
  <si>
    <t>Kích thước: 25mm x 25mm, hộp 100 tờ</t>
  </si>
  <si>
    <t>Độ tinh khiết: ≥ 37%
Scharlau hoặc tương đương; Quy cách: chai1L</t>
  </si>
  <si>
    <t>- Độ tinh khiết: 31%-37 %
- Khối lượng mol: 36,46 g/mol
- Khối lượng riêng: 1,18 g/cm3</t>
  </si>
  <si>
    <t>- Dạng ngoài: Tinh thể hạt mài trắng
- Hàm lượng: 99%
- Đóng gói: Hộp 500 g</t>
  </si>
  <si>
    <t>- Dạng ngoài: Tinh thể hạt mài trắng
- Độ tinh khiết: ≥ 95,0 %
- Đóng gói: Hộp 500 g</t>
  </si>
  <si>
    <t>- Độ tinh khiết: ≥ 99.7%
- Áp suất hơi: ~132 mmHg ( 20 °C)</t>
  </si>
  <si>
    <t>Độ tinh khiết: 98%
Hệ số phản xạ: n20/D 1.432 
Nhiệt độ sôi: 203 °C 
Tỉ khối: 0.863 g/mL at 25 °C 
Chuỗi SMILES: CCCCCCOC(=O)C(C)=C</t>
  </si>
  <si>
    <t>- Dạng sệt - Phân tử khối: 189.85 g/mol - Chống thoát carbon trong quá trình nhiệt luyện - Quy cách: can 25 kg/can - KALSEN hoặc tương đương</t>
  </si>
  <si>
    <t>- Dạng bột, màu trắng - Quy cách: 25 kg/bao - Dùng trong quá trình định hình màng phốt phát mangan - SUF-ZNP hoặc tương đương</t>
  </si>
  <si>
    <t>- Dạng lỏng, trong suốt - pH: 5.3 - Quy cách: 25 kg/can - PP-M35 hoặc tương đương</t>
  </si>
  <si>
    <t>-Độ tinh khiết:  ≥ 98% (HPLC)
-Điểm/khoảng nóng chảy: 300 °C</t>
  </si>
  <si>
    <t>-Độ tinh khiết:  ≥ 98% (HPLC)</t>
  </si>
  <si>
    <t>- Dạng lỏng, trong suốt - Tính kiềm mạnh - Quy cách: 25 kg/can - DC-R446 hoặc tương đương</t>
  </si>
  <si>
    <t>- Độ tinh khiết: ≥95%
- Nhiệt độ nóng chảy: 128-130 °C</t>
  </si>
  <si>
    <t>- Độ tinh khiết: ≥97% 
- Mức độ chất lượng: 20</t>
  </si>
  <si>
    <t>- Độ tinh khiết ≥99,5%
- Khối lượng riêng:  0,785 g/ml (25 °C)</t>
  </si>
  <si>
    <t>Độ tinh khiết: 99,5%
Nhiệt độ sôi: 82 ºC
Khối lượng riêng:   0.785 g/mL ở 25 °C
Sigma aldrich hoặc tương đương</t>
  </si>
  <si>
    <t>Độ tinh khiết: ≥ 99%; Quy cách: chai1kg</t>
  </si>
  <si>
    <t>- Nồng độ: ≥98%
- pH: 9 (10 g/l, H₂O, 20°C)
- Khối lượng riêng: 2.44 g/cm3 (20°C)</t>
  </si>
  <si>
    <t>-Độ tinh khiết: ≥ 98%
-Nhiệt độ sôi: 92 - 95 ᴼC</t>
  </si>
  <si>
    <t>Nồng độ   ≥99.9%
Tạp chất   ≤0.005% 
Hao hụt khối lượng  ≤0.05% hao hụt khi sấy
Nhiệt độ nóng chảy   398 °C (lit.)
Thành phần anion
chloride (Cl-): ≤0.001%
  sulfate (SO42-): ≤0.005%
Thành phần cation
Ca: ≤0.003%
  Na: ≤0.001%
  Na: ≤0.02%
  Kim loại nặng (Pb): ≤5 ppm
Sigma aldrich hoặc tương đương</t>
  </si>
  <si>
    <t>-Độ tinh khiết: 99.995%</t>
  </si>
  <si>
    <t>-Chịu được áp suất 20MPa
- Phù hợp tiêu chuẩn ASTM D4541
- FM-1000 hoặc tương đương</t>
  </si>
  <si>
    <t>- Độ tinh khiết: ≥98%
- pH: 4,2 - 4,6 ở 20 g/l (20 °C)
- Khối lượng riêng: 2.33 g/cm3 (21.5 °C)</t>
  </si>
  <si>
    <t>- Kích thước: 25cm x 25cm, chất liệu: cotton, hộp 20 cái - OEM hoặc tương đương</t>
  </si>
  <si>
    <t>Độ tinh khiết: 99.995%</t>
  </si>
  <si>
    <t>-  Độ tinh khiết 99,999%
-  Đóng bình 40 lít chứa 6m3 khí</t>
  </si>
  <si>
    <t>-  Độ tinh khiết 99,99%
-  Đóng bình 40 lít chứa 6m3 khí</t>
  </si>
  <si>
    <t>Độ tinh khiết: 96%,  chất ổn định 500ppm 
Nhiệt độ sôi:   142 ºC
Khối lượng riêng:     0.868 g/mL ở 25 °C
Sigma aldrich hoặc tương đương</t>
  </si>
  <si>
    <t>Độ tinh khiết: ≥ 88%</t>
  </si>
  <si>
    <t>- Dung tích: 100 ml
- Chất liệu: nhựa
- Màu sắc: màu xanh</t>
  </si>
  <si>
    <t>- Độ tinh khiết: ≥ 99%</t>
  </si>
  <si>
    <t>Vật liệu: PVDF, kích thước lỗ 0,22µm, 150x200mm
Đóng gói: Hộp 10 cái</t>
  </si>
  <si>
    <t>Vật liệu: PVDF, kích thước lỗ 0,45µm, 150x200mm
Đóng gói: Hộp 10 cái</t>
  </si>
  <si>
    <t>Thể tích: 250 ml
Thành phần: 
- Petroleum gases: 45% - 55%
- Ethyl acetate: 20% - 40%
- Toluene: 10% - 30%
- Acrylic Resin:  5% - 15%</t>
  </si>
  <si>
    <t>Độ tinh khiết: 99,9%,
Nhiệt độ sôi:   65.4 ºC
Khối lượng riêng: 0.791 g/mL ở 25 °C
Sigma aldrich hoặc tương đương</t>
  </si>
  <si>
    <t>- Khối lượng mol: 327.34 g/mol
- Hình thể: rắn, màu cam
- PH: Khoảng 6,5 ở 5 g/l 20 °C</t>
  </si>
  <si>
    <t>- Khối lượng mol: 269.31 g/mol
- Hình thể: rắn, màu tím đỏ
- Điểm nóng chảy: 178 - 182°C</t>
  </si>
  <si>
    <t>Độ tinh khiết: 99 %
Nhiệt độ sôi: 80 ºC
Khối lượng riêng:   0.805 g/mL ở 25 °C
Sigma aldrich hoặc tương đương</t>
  </si>
  <si>
    <t>- Độ tinh khiết: ≥98%
- pH: 5.0-8.2 (25 °C, 5%)
- Áp suất hơi: &lt; 0,1 ( 20 °C)</t>
  </si>
  <si>
    <t>Độ nhỏ giọt &lt;260oC, hộp 200 g</t>
  </si>
  <si>
    <t>Thành phần:
- Chất đóng rắn: 45 – 50%
- Dung môi: 50 – 55%</t>
  </si>
  <si>
    <t>Tính chất: Chống gỉ, bám dính cao
Thành phần:
- Xà phòng liti;
- Dầu khoáng;
- Nano clay biến tính;
- Nhiệt độ làm việc: - 10oC ~ 110oC</t>
  </si>
  <si>
    <t>Độ tinh khiết ≥98%
Đóng gói: chai 0,5 lít</t>
  </si>
  <si>
    <t>- Độ tinh khiết: ≥99,5%
- Khối lượng mol: 141.96 g/mol
 - Điểm nóng chảy: 250 °C</t>
  </si>
  <si>
    <t>Độ tinh khiết: ≥ 99%
Hàm lượng Cl-: ≤0.045%
Scharlau hoặc tương đương; Quy cách: chai1kg</t>
  </si>
  <si>
    <t>Độ tinh khiết: ≥99,5%
- Khối lượng mol: 119.976 g/mol</t>
  </si>
  <si>
    <t>- Nồng độ: 0,1M
- Khối lượng mol: 39,997 g/mol
- Giá trị pH: 12,7 (H₂O, 20 ° C)</t>
  </si>
  <si>
    <t>Độ tinh khiết: &gt;98%,
Thành phần cation:  Al: ≤0.0005%; Ca: ≤0.0005%; Cu: ≤0.0005%; Fe: ≤0.0005%;  K:≤0.02%; Mg: ≤0.0005%; Pb: ≤0.001%; Zn: ≤0.0005%
Thành phần anion: chloride (Cl-): ≤0.005%, sulfate (SO42-): ≤0.05%
Sigma aldrich hoặc tương đương</t>
  </si>
  <si>
    <t>-Độ tinh khiết: 99% 
-pH: 8 (ở 100 g/l ở 20 °C)
-Nhiệt độ nóng chảy: &gt; 300 °C
-Tỷ trọng tương đối 1,5 (20 °C)</t>
  </si>
  <si>
    <t>- Nhiệt độ sôi: 1461 °C (1013 hPa)
- Khối lượng riêng: 1461 °C (1013 hPa)
- Nhiệt độ nóng chảy: 801 °C - Giá trị pH: .5 - 7.0 (100 g/l, H₂O, 20 °C)
- Ấp suất hơi: 1.3 hPa (865 °C)
- Độ tinh khiết: ≥ 99.5 %
- Merck hoặc tương đương</t>
  </si>
  <si>
    <t>- Độ tinh khiết: ≥99.5% - Hàm lượng Br-: ≤0.005% - Bao gói: chai 1 kg - Scharlau hoặc tương đương</t>
  </si>
  <si>
    <t>-Độ tinh khiết: 98 - 100,5 %</t>
  </si>
  <si>
    <t>-Độ tinh khiết: ≥98%
-Nhiệt độ nóng chảy: 323 °C (lit.)
-Nhiệt độ sôi: 1390 °C</t>
  </si>
  <si>
    <t>-Độ tinh khiết: ≥99%
-Nhiệt độ nóng chảy: 232-235 °C (lit.)
-Dạng bột</t>
  </si>
  <si>
    <t>- Độ tinh khiết: ≥99%
- Khối lượng phân tử: 100.2 g/mol</t>
  </si>
  <si>
    <t>- Độ tinh khiết: ≥99%
- Khối lượng phân tử: 86.18 g/mol</t>
  </si>
  <si>
    <t>Độ tinh khiết: 99%,
Nhiệt độ sôi:  156-157 ºC
Khối lượng riêng:  0.814 g/mL ở 25 °C
Sigma aldrich hoặc tương đương</t>
  </si>
  <si>
    <t>Độ tinh khiết: ≥ 99%
Scharlau hoặc tương đương; Quy cách: chai2</t>
  </si>
  <si>
    <t>- Độ dẫn (MΩ.cm) &gt;1.0
- TOC (ppb) &lt;50
- Silica (ppb) &lt;100
- Vi khuẩn (cfu/ml) &lt;100
- Quy cách: can 5 lít</t>
  </si>
  <si>
    <t>- Khối lượng riêng: 1,060-1,068 g/cm3
- pH: 7,5-8,5
- Nhiệt độ sôi: 106 ºC
-Nhiệt độ kết tinh: -30 ºC
- Đáp ứng tiêu chuẩn TY-2422-101392324-2004 hoặc tương đương</t>
  </si>
  <si>
    <t>-Độ tinh khiết: ≥98%
-Nhiệt độ sôi: 237 °C
-Áp suât hơi:  1 mmHg ( 78 °C)</t>
  </si>
  <si>
    <t>Độ tính khiết &gt; 90%
Khối lượng riêng: 0,889-0,895 g/ml,
Chỉ số axit: 196-204 mg KOH/g
Chỉ số iot: 85-95 gI2/100g; Quy cách: chai1L</t>
  </si>
  <si>
    <t>-Độ tinh khiết: ≥ 99,5%
-Nhiệt độ sôi:149-160 °C
-Khối lượng riêng: 1,65 g/cm3 (20 °C)</t>
  </si>
  <si>
    <t>- Nguồn gốc: Thịt động vật
- Độ tan trong nước: 50 mg/mL</t>
  </si>
  <si>
    <t>-Khối lượng phân tử: 31000
-Độ nhớt: 3,5-4,5 mPa.s, 4% trong H2O (20 ° C)</t>
  </si>
  <si>
    <t>-Độ tinh khiết: 99%
-Nhiệt độ nóng chảy: 681 °C (lit.)</t>
  </si>
  <si>
    <t>- Độ tinh khiết: ≥98%
- Độ hòa tan:  18 mg/mL</t>
  </si>
  <si>
    <t>- Dạng hạt, kích thước 0.004-0.063 mm</t>
  </si>
  <si>
    <t>- Hạt silicagel màu xanh nước biển;
- Túi 1000 g;
- Kích thước túi: dài x ngang x dày: 30 x 22 x 2,5 cm</t>
  </si>
  <si>
    <t>- Hàm lượng: ≥ 95.0 % 
- Khối lượng mol: 288,37 g/mol
- Mật độ: 1,1 g / cm3 (20 ° C)
- Điểm nóng chảy: 204 - 207 °C
- Giá trị pH: 9.1 (10 g/l, H₂O)
- Độ hòa tan: &gt; 130 g / l</t>
  </si>
  <si>
    <t>- Độ tinh khiết: ≥ 98%
- pH: 4,0 - 4,5 (ở 50 g/l ở 25 °C)
- Nhiệt độ nóng chảy: &gt; 450°C
- Tỷ trọng tương đối: 2,36 (20 °C)</t>
  </si>
  <si>
    <t>-Độ tinh khiết: 99%
-Nhiệt độ nóng chảy:  741 °C (lit.)
-Khối lượng riêng:  2.367 g/mL at 25 °C (lit.)</t>
  </si>
  <si>
    <t>- Dạng sệt - Phân tử khối: 189.85 g/mol - Chống thoát carbon và chống ôxi hoá bề mặt trong quá trình nhiệt luyện - Quy cách: can 25 kg/can - Tinderex, hoặc tương đương</t>
  </si>
  <si>
    <t>Thành phần: 96,5% Zn
Thời gian khô: 4-10h
Màu sắc: Màu bạc sáng</t>
  </si>
  <si>
    <t>Thành phần: 94,5% Zn
Màu sắc: Màu trắng sữa
Đóng gói: 1 kg/hộp</t>
  </si>
  <si>
    <t>Độ tinh khiết: ≥ 99%
Nhiệt độ nóng chảy: 67-70oC</t>
  </si>
  <si>
    <t>Nhiệt độ sôi: 195 °C/6 mmHg (lit.)
Tỉ khối: 0.864 g/mL at 25 °C (lit.)
Chuỗi SMILES CCCCCCCCCCCCCCCCCCOC(=O)C(C)=C</t>
  </si>
  <si>
    <t>Con sứ hình trụ đường kính 3.5cm, cao 5cm</t>
  </si>
  <si>
    <t>- Khối lượng nhóm oxyetyl: 62 ± 3%
- Đáp ứng chuẩn Chuẩn: ТУ 6-14-577-80 hoặc tương đương</t>
  </si>
  <si>
    <t>Độ tinh khiết: 99%,
Nhiệt độ sôi:    121 ºC
Khối lượng riêng:  1.623 g/mL ở 25 °C
Sigma aldrich hoặc tương đương</t>
  </si>
  <si>
    <t>- Khối lượng mol: 407,979 g/mol 
-  Điểm nóng chảy: 205 °C</t>
  </si>
  <si>
    <t>- Citronellal ≥ 18,2 %
- Geraniol ≥ 16%
- Geranyl acetate ≤ 0,5%</t>
  </si>
  <si>
    <t>Độ tinh khiết: ≥ 99,5%; Quy cách: chai1L</t>
  </si>
  <si>
    <t>Độ tinh khiết: ≥ 97%</t>
  </si>
  <si>
    <t>- Độ tinh khiết: 99,0% (GC)
- Độ pH: 10,5-1105 (ở 149 g/l ở 25 °C)</t>
  </si>
  <si>
    <t>Độ tinh khiết: ≥ 99,7%
Hàm lượng Cl-: max.0,001%; Quy cách: Lọ1kg</t>
  </si>
  <si>
    <t>-Độ tinh khiết: ≥98%
-Áp Suất hơi:  0.01 mmHg ( 20 °C</t>
  </si>
  <si>
    <t>- Độ tinh khiết: ≥98%
- Dạng: bột
- Độ hòa tan: DMSO: 2 mg/mL</t>
  </si>
  <si>
    <t>-Độ tinh khiết: ≥ 96%
-Nhiệt độ sôi: 92 - 95 ᴼC</t>
  </si>
  <si>
    <t>Độ tinh khiết: ≥ 99%
Sigma Aldrich hoặc tương đương; Quy cách: lọ250g</t>
  </si>
  <si>
    <t>- Loại bỏ được các vết dầu, mỡ, hóa chất, dung môi trên dụng cụ thủy tinh - Khối lượng tịnh: 90 g - LifeBuoy hoặc tương đương</t>
  </si>
  <si>
    <t>- Độ tinh khiết: ≥80.0%
- Độ tan trong nước: 1 mg/mL</t>
  </si>
  <si>
    <t>- Ngoại quan: Chất lỏng Không màu, trong suốt
- Mùi: dầu chuối
- Tỉ trọng: 0.88 g/cm3
- Nhiệt độ sôi: 126oC</t>
  </si>
  <si>
    <t>- Độ tinh khiết: ≥ 98%
- Khối lượng mol: 81.408g/mol</t>
  </si>
  <si>
    <t>Độ tinh khiết: ≥ 99%
Scharlau hoặc tương đương; Quy cách: lọ1kg</t>
  </si>
  <si>
    <t>hộp</t>
  </si>
  <si>
    <t>viên</t>
  </si>
  <si>
    <t>cái</t>
  </si>
  <si>
    <t>Bộ</t>
  </si>
  <si>
    <t>Cái</t>
  </si>
  <si>
    <t>lọ</t>
  </si>
  <si>
    <t>túi</t>
  </si>
  <si>
    <t>m2</t>
  </si>
  <si>
    <t>kg</t>
  </si>
  <si>
    <t>Bao 25kg</t>
  </si>
  <si>
    <t>Cuộn</t>
  </si>
  <si>
    <t>Túi</t>
  </si>
  <si>
    <t>Viên</t>
  </si>
  <si>
    <t>Kg</t>
  </si>
  <si>
    <t>mẫu</t>
  </si>
  <si>
    <t>tờ</t>
  </si>
  <si>
    <t>Hộp </t>
  </si>
  <si>
    <t>Hộp</t>
  </si>
  <si>
    <t>Chiếc</t>
  </si>
  <si>
    <t>cái </t>
  </si>
  <si>
    <t>Ống</t>
  </si>
  <si>
    <t>cây</t>
  </si>
  <si>
    <t>tủ</t>
  </si>
  <si>
    <t>tuýp</t>
  </si>
  <si>
    <t>Thanh</t>
  </si>
  <si>
    <t>mét vuông</t>
  </si>
  <si>
    <t>Bình 40L</t>
  </si>
  <si>
    <t>đôi</t>
  </si>
  <si>
    <t>Thùng</t>
  </si>
  <si>
    <t>Đôi</t>
  </si>
  <si>
    <t>Hộp 100 cái</t>
  </si>
  <si>
    <t>cuộn</t>
  </si>
  <si>
    <t>mét</t>
  </si>
  <si>
    <t>Chai</t>
  </si>
  <si>
    <t>Lọ</t>
  </si>
  <si>
    <t>Chai 0,5kg</t>
  </si>
  <si>
    <t>Chai 1kg</t>
  </si>
  <si>
    <t>Chai 2,5lít</t>
  </si>
  <si>
    <t>Chai 4L</t>
  </si>
  <si>
    <t>Chai 1L</t>
  </si>
  <si>
    <t>Chai 0,5L</t>
  </si>
  <si>
    <t>Can 30lít</t>
  </si>
  <si>
    <t>Lọ 1kg</t>
  </si>
  <si>
    <t>Chai 1lít</t>
  </si>
  <si>
    <t>Lọ 500g</t>
  </si>
  <si>
    <t>Lọ 250g</t>
  </si>
  <si>
    <t>Chai 100g</t>
  </si>
  <si>
    <t>Chai 25g</t>
  </si>
  <si>
    <t>chai 1g</t>
  </si>
  <si>
    <t>Chai 500g</t>
  </si>
  <si>
    <t>Lít</t>
  </si>
  <si>
    <t>Can 25lít</t>
  </si>
  <si>
    <t>Chai 2,5L</t>
  </si>
  <si>
    <t>Lọ 100g</t>
  </si>
  <si>
    <t>Chai 500ml</t>
  </si>
  <si>
    <t>Lọ 5g</t>
  </si>
  <si>
    <t>Lọ 5ml</t>
  </si>
  <si>
    <t>Ống 10ml</t>
  </si>
  <si>
    <t>Lọ 1g</t>
  </si>
  <si>
    <t>Chai 250ml</t>
  </si>
  <si>
    <t>can</t>
  </si>
  <si>
    <t>Lit</t>
  </si>
  <si>
    <t>Lọ 100 ml</t>
  </si>
  <si>
    <t>Chai 25ml</t>
  </si>
  <si>
    <t>Can 20lít</t>
  </si>
  <si>
    <t>Can 5L</t>
  </si>
  <si>
    <t>Can 30kg</t>
  </si>
  <si>
    <t>Chai 4kg</t>
  </si>
  <si>
    <t>Lọ 10 ml</t>
  </si>
  <si>
    <t>bao</t>
  </si>
  <si>
    <t>chai 100g</t>
  </si>
  <si>
    <t>Lọ 250mg</t>
  </si>
  <si>
    <t>Lọ 25mg</t>
  </si>
  <si>
    <t>Bình</t>
  </si>
  <si>
    <t>bình</t>
  </si>
  <si>
    <t>Lọ 25g</t>
  </si>
  <si>
    <t>Can 5kg</t>
  </si>
  <si>
    <t>Lọ 5mg</t>
  </si>
  <si>
    <t>Hộp 1kg</t>
  </si>
  <si>
    <t>Lọ 5 mg</t>
  </si>
  <si>
    <t>Thùng 25kg</t>
  </si>
  <si>
    <t>6.970.000</t>
  </si>
  <si>
    <t>522.000</t>
  </si>
  <si>
    <t>1.680.000</t>
  </si>
  <si>
    <t>850.000</t>
  </si>
  <si>
    <t>2.700.000</t>
  </si>
  <si>
    <t>13.000.000</t>
  </si>
  <si>
    <t>9.450.000</t>
  </si>
  <si>
    <t>3.300.000</t>
  </si>
  <si>
    <t>1.800.000</t>
  </si>
  <si>
    <t>5.300.000</t>
  </si>
  <si>
    <t>5.610.000</t>
  </si>
  <si>
    <t>730.000</t>
  </si>
  <si>
    <t>1.150.000</t>
  </si>
  <si>
    <t>6.600.000</t>
  </si>
  <si>
    <t>3.070.000</t>
  </si>
  <si>
    <t>5.930.000</t>
  </si>
  <si>
    <t>4.700.000</t>
  </si>
  <si>
    <t>165.000</t>
  </si>
  <si>
    <t>2.000.000</t>
  </si>
  <si>
    <t>5.250.000</t>
  </si>
  <si>
    <t>5.600.000</t>
  </si>
  <si>
    <t>5.900.000</t>
  </si>
  <si>
    <t>2.450.000</t>
  </si>
  <si>
    <t>2.020.000</t>
  </si>
  <si>
    <t>3.570.000</t>
  </si>
  <si>
    <t>3.150.000</t>
  </si>
  <si>
    <t>3.170.000</t>
  </si>
  <si>
    <t>4.400.000</t>
  </si>
  <si>
    <t>4.580.000</t>
  </si>
  <si>
    <t>250.000</t>
  </si>
  <si>
    <t>30.000</t>
  </si>
  <si>
    <t>3.290.000</t>
  </si>
  <si>
    <t>6.650.000</t>
  </si>
  <si>
    <t>350.000</t>
  </si>
  <si>
    <t>42.000</t>
  </si>
  <si>
    <t>600.000</t>
  </si>
  <si>
    <t>5.000.000</t>
  </si>
  <si>
    <t>1.260.000</t>
  </si>
  <si>
    <t>450.000</t>
  </si>
  <si>
    <t>2.200.000</t>
  </si>
  <si>
    <t>6.900.000</t>
  </si>
  <si>
    <t>35.000</t>
  </si>
  <si>
    <t>15.000</t>
  </si>
  <si>
    <t>18.000</t>
  </si>
  <si>
    <t>20.000</t>
  </si>
  <si>
    <t>114.000</t>
  </si>
  <si>
    <t>93.000</t>
  </si>
  <si>
    <t>140.000</t>
  </si>
  <si>
    <t>1.000.000</t>
  </si>
  <si>
    <t>6.000.000</t>
  </si>
  <si>
    <t>8.900.000</t>
  </si>
  <si>
    <t>1.400.000</t>
  </si>
  <si>
    <t>550.000</t>
  </si>
  <si>
    <t>420.900</t>
  </si>
  <si>
    <t>150.000</t>
  </si>
  <si>
    <t>380.000</t>
  </si>
  <si>
    <t>240.000</t>
  </si>
  <si>
    <t>480.000</t>
  </si>
  <si>
    <t>280.000</t>
  </si>
  <si>
    <t>300.000</t>
  </si>
  <si>
    <t>4.250.000</t>
  </si>
  <si>
    <t>2.400.000</t>
  </si>
  <si>
    <t>345.000</t>
  </si>
  <si>
    <t>13.300.000</t>
  </si>
  <si>
    <t>14.300.000</t>
  </si>
  <si>
    <t>12.070.000</t>
  </si>
  <si>
    <t>3.400.000</t>
  </si>
  <si>
    <t>6.100.000</t>
  </si>
  <si>
    <t>6.400.000</t>
  </si>
  <si>
    <t>6.800.000</t>
  </si>
  <si>
    <t>6.200.000</t>
  </si>
  <si>
    <t>6.190.000</t>
  </si>
  <si>
    <t>4.000.000</t>
  </si>
  <si>
    <t>2.670.000</t>
  </si>
  <si>
    <t>255.000</t>
  </si>
  <si>
    <t>160.000</t>
  </si>
  <si>
    <t>55.000</t>
  </si>
  <si>
    <t>6.830.000</t>
  </si>
  <si>
    <t>247.000</t>
  </si>
  <si>
    <t>2.600.000</t>
  </si>
  <si>
    <t>4.110.000</t>
  </si>
  <si>
    <t>15.000.000</t>
  </si>
  <si>
    <t>5.070.000</t>
  </si>
  <si>
    <t>200.000</t>
  </si>
  <si>
    <t>9.000</t>
  </si>
  <si>
    <t>1.500.000</t>
  </si>
  <si>
    <t>1.100.000</t>
  </si>
  <si>
    <t>1.300.000</t>
  </si>
  <si>
    <t>3.500.000</t>
  </si>
  <si>
    <t>3.550.000</t>
  </si>
  <si>
    <t>4.500.000</t>
  </si>
  <si>
    <t>100.000</t>
  </si>
  <si>
    <t>12.300.000</t>
  </si>
  <si>
    <t>3.950.000</t>
  </si>
  <si>
    <t>1.200.000</t>
  </si>
  <si>
    <t>203.000</t>
  </si>
  <si>
    <t>49.500</t>
  </si>
  <si>
    <t>80.000</t>
  </si>
  <si>
    <t>110.000</t>
  </si>
  <si>
    <t>130.000</t>
  </si>
  <si>
    <t>500.000</t>
  </si>
  <si>
    <t>120.000</t>
  </si>
  <si>
    <t>102.000</t>
  </si>
  <si>
    <t>2.500.000</t>
  </si>
  <si>
    <t>2.800.000</t>
  </si>
  <si>
    <t>33.000</t>
  </si>
  <si>
    <t>320.000</t>
  </si>
  <si>
    <t>1.620.000</t>
  </si>
  <si>
    <t>1.700.000</t>
  </si>
  <si>
    <t>1.853.000</t>
  </si>
  <si>
    <t>1.450.000</t>
  </si>
  <si>
    <t>45.000</t>
  </si>
  <si>
    <t>27.000</t>
  </si>
  <si>
    <t>3.180.000</t>
  </si>
  <si>
    <t>420.000</t>
  </si>
  <si>
    <t>750.000</t>
  </si>
  <si>
    <t>360.000</t>
  </si>
  <si>
    <t>53.000</t>
  </si>
  <si>
    <t>32.000</t>
  </si>
  <si>
    <t>980.000</t>
  </si>
  <si>
    <t>3.600.000</t>
  </si>
  <si>
    <t>8.400.000</t>
  </si>
  <si>
    <t>1.600.000</t>
  </si>
  <si>
    <t>400.000</t>
  </si>
  <si>
    <t>1.900.000</t>
  </si>
  <si>
    <t>720.000</t>
  </si>
  <si>
    <t>340.000</t>
  </si>
  <si>
    <t>3.200.000</t>
  </si>
  <si>
    <t>448.500</t>
  </si>
  <si>
    <t>175.000</t>
  </si>
  <si>
    <t>2.300.000</t>
  </si>
  <si>
    <t>970.000</t>
  </si>
  <si>
    <t>6.985.000</t>
  </si>
  <si>
    <t>700.000</t>
  </si>
  <si>
    <t>3.000.000</t>
  </si>
  <si>
    <t>4.300.000</t>
  </si>
  <si>
    <t>520.000</t>
  </si>
  <si>
    <t>290.000</t>
  </si>
  <si>
    <t>1.650.000</t>
  </si>
  <si>
    <t>2.100.000</t>
  </si>
  <si>
    <t>1.270.000</t>
  </si>
  <si>
    <t>4.600.000</t>
  </si>
  <si>
    <t>7.500.000</t>
  </si>
  <si>
    <t>900.000</t>
  </si>
  <si>
    <t>270.000</t>
  </si>
  <si>
    <t>4.100.000</t>
  </si>
  <si>
    <t>2.220.000</t>
  </si>
  <si>
    <t>7.000.000</t>
  </si>
  <si>
    <t>1.250.000</t>
  </si>
  <si>
    <t>246.000</t>
  </si>
  <si>
    <t>60.000</t>
  </si>
  <si>
    <t>4.000</t>
  </si>
  <si>
    <t>840.000</t>
  </si>
  <si>
    <t>620.000</t>
  </si>
  <si>
    <t>2.650.000</t>
  </si>
  <si>
    <t>190.000</t>
  </si>
  <si>
    <t>4.990.000</t>
  </si>
  <si>
    <t>330.000</t>
  </si>
  <si>
    <t>9.800.000</t>
  </si>
  <si>
    <t>17.500.000</t>
  </si>
  <si>
    <t>Cơ khí</t>
  </si>
  <si>
    <t>Dụng cụ TN</t>
  </si>
  <si>
    <t>Điện</t>
  </si>
  <si>
    <t>Hoá chất</t>
  </si>
  <si>
    <t>C001</t>
  </si>
  <si>
    <t>C002</t>
  </si>
  <si>
    <t>C004</t>
  </si>
  <si>
    <t>C005</t>
  </si>
  <si>
    <t>C006</t>
  </si>
  <si>
    <t>C007</t>
  </si>
  <si>
    <t>C008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</si>
  <si>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</si>
  <si>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</si>
  <si>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</si>
  <si>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</si>
  <si>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</si>
  <si>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</si>
  <si>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</si>
  <si>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</si>
  <si>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</si>
  <si>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</si>
  <si>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</si>
  <si>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</si>
  <si>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</si>
  <si>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</si>
  <si>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</si>
  <si>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</si>
  <si>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</si>
  <si>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</si>
  <si>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</si>
  <si>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</si>
  <si>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</si>
  <si>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</si>
  <si>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</si>
  <si>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</si>
  <si>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</si>
  <si>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</si>
  <si>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</si>
  <si>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</si>
  <si>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</si>
  <si>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</si>
  <si>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</si>
  <si>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</si>
  <si>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</si>
  <si>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</si>
  <si>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</si>
  <si>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</si>
  <si>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</si>
  <si>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</si>
  <si>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</si>
  <si>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</si>
  <si>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C050</t>
  </si>
  <si>
    <t>C051</t>
  </si>
  <si>
    <t>C052</t>
  </si>
  <si>
    <t>C053</t>
  </si>
  <si>
    <t>C054</t>
  </si>
  <si>
    <t>C055</t>
  </si>
  <si>
    <t>C056</t>
  </si>
  <si>
    <t>C057</t>
  </si>
  <si>
    <t>C058</t>
  </si>
  <si>
    <t>C059</t>
  </si>
  <si>
    <t>C060</t>
  </si>
  <si>
    <t>C061</t>
  </si>
  <si>
    <t>C062</t>
  </si>
  <si>
    <t>C063</t>
  </si>
  <si>
    <t>C064</t>
  </si>
  <si>
    <t>C065</t>
  </si>
  <si>
    <t>C066</t>
  </si>
  <si>
    <t>C067</t>
  </si>
  <si>
    <t>C068</t>
  </si>
  <si>
    <t>C069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</si>
  <si>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</si>
  <si>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</si>
  <si>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</si>
  <si>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</si>
  <si>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</si>
  <si>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</si>
  <si>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</si>
  <si>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</si>
  <si>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</si>
  <si>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</si>
  <si>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</si>
  <si>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</si>
  <si>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</si>
  <si>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</si>
  <si>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</si>
  <si>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</si>
  <si>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</si>
  <si>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</si>
  <si>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</si>
  <si>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C089</t>
  </si>
  <si>
    <t>C090</t>
  </si>
  <si>
    <t>C091</t>
  </si>
  <si>
    <t>C092</t>
  </si>
  <si>
    <t>C093</t>
  </si>
  <si>
    <t>C094</t>
  </si>
  <si>
    <t>C095</t>
  </si>
  <si>
    <t>C096</t>
  </si>
  <si>
    <t>C097</t>
  </si>
  <si>
    <t>C098</t>
  </si>
  <si>
    <t>C099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</si>
  <si>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</si>
  <si>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</si>
  <si>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</si>
  <si>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</si>
  <si>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</si>
  <si>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</si>
  <si>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</si>
  <si>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</si>
  <si>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</si>
  <si>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</si>
  <si>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</si>
  <si>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</si>
  <si>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</si>
  <si>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</si>
  <si>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</si>
  <si>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</si>
  <si>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</si>
  <si>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</si>
  <si>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</si>
  <si>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</si>
  <si>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</si>
  <si>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</si>
  <si>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</si>
  <si>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</si>
  <si>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</si>
  <si>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</si>
  <si>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</si>
  <si>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</si>
  <si>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</si>
  <si>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</si>
  <si>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</si>
  <si>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</si>
  <si>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</si>
  <si>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</si>
  <si>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</si>
  <si>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</si>
  <si>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</si>
  <si>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</si>
  <si>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</si>
  <si>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</si>
  <si>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</si>
  <si>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</si>
  <si>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</si>
  <si>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</si>
  <si>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</si>
  <si>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</si>
  <si>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</si>
  <si>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</si>
  <si>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</si>
  <si>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</si>
  <si>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</si>
  <si>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</si>
  <si>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</si>
  <si>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</si>
  <si>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</si>
  <si>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</si>
  <si>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</si>
  <si>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</si>
  <si>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</si>
  <si>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</si>
  <si>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</si>
  <si>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</si>
  <si>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</si>
  <si>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</si>
  <si>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</si>
  <si>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</si>
  <si>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</si>
  <si>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</si>
  <si>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</si>
  <si>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</si>
  <si>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</si>
  <si>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</si>
  <si>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</si>
  <si>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</si>
  <si>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</si>
  <si>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</si>
  <si>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</si>
  <si>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</si>
  <si>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</si>
  <si>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</si>
  <si>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</si>
  <si>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</si>
  <si>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</si>
  <si>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</si>
  <si>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</si>
  <si>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</si>
  <si>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</si>
  <si>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</si>
  <si>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</si>
  <si>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</si>
  <si>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</si>
  <si>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</si>
  <si>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</si>
  <si>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</si>
  <si>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</si>
  <si>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</si>
  <si>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</si>
  <si>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</si>
  <si>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</si>
  <si>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</si>
  <si>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</si>
  <si>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</si>
  <si>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</si>
  <si>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</si>
  <si>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</si>
  <si>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</si>
  <si>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</si>
  <si>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</si>
  <si>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</si>
  <si>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</si>
  <si>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</si>
  <si>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</si>
  <si>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</si>
  <si>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</si>
  <si>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</si>
  <si>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</si>
  <si>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</si>
  <si>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</si>
  <si>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</si>
  <si>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</si>
  <si>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</si>
  <si>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</si>
  <si>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</si>
  <si>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</si>
  <si>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</si>
  <si>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</si>
  <si>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</si>
  <si>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</si>
  <si>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</si>
  <si>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</si>
  <si>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</si>
  <si>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</si>
  <si>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</si>
  <si>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</si>
  <si>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</si>
  <si>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</si>
  <si>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</si>
  <si>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</si>
  <si>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</si>
  <si>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D026</t>
  </si>
  <si>
    <t>D027</t>
  </si>
  <si>
    <t>D028</t>
  </si>
  <si>
    <t>D029</t>
  </si>
  <si>
    <t>D030</t>
  </si>
  <si>
    <t>D031</t>
  </si>
  <si>
    <t>D032</t>
  </si>
  <si>
    <t>D033</t>
  </si>
  <si>
    <t>D034</t>
  </si>
  <si>
    <t>D035</t>
  </si>
  <si>
    <t>D036</t>
  </si>
  <si>
    <t>D037</t>
  </si>
  <si>
    <t>D038</t>
  </si>
  <si>
    <t>D039</t>
  </si>
  <si>
    <t>D040</t>
  </si>
  <si>
    <t>D041</t>
  </si>
  <si>
    <t>D042</t>
  </si>
  <si>
    <t>D043</t>
  </si>
  <si>
    <t>D044</t>
  </si>
  <si>
    <t>D045</t>
  </si>
  <si>
    <t>D046</t>
  </si>
  <si>
    <t>D047</t>
  </si>
  <si>
    <t>D048</t>
  </si>
  <si>
    <t>D049</t>
  </si>
  <si>
    <t>D050</t>
  </si>
  <si>
    <t>D051</t>
  </si>
  <si>
    <t>D052</t>
  </si>
  <si>
    <t>D053</t>
  </si>
  <si>
    <t>D054</t>
  </si>
  <si>
    <t>D055</t>
  </si>
  <si>
    <t>D056</t>
  </si>
  <si>
    <t>D057</t>
  </si>
  <si>
    <t>D058</t>
  </si>
  <si>
    <t>D059</t>
  </si>
  <si>
    <t>D060</t>
  </si>
  <si>
    <t>D061</t>
  </si>
  <si>
    <t>D062</t>
  </si>
  <si>
    <t>D063</t>
  </si>
  <si>
    <t>D064</t>
  </si>
  <si>
    <t>D065</t>
  </si>
  <si>
    <t>D066</t>
  </si>
  <si>
    <t>D067</t>
  </si>
  <si>
    <t>D068</t>
  </si>
  <si>
    <t>D069</t>
  </si>
  <si>
    <t>D070</t>
  </si>
  <si>
    <t>D071</t>
  </si>
  <si>
    <t>D072</t>
  </si>
  <si>
    <t>D073</t>
  </si>
  <si>
    <t>D074</t>
  </si>
  <si>
    <t>D075</t>
  </si>
  <si>
    <t>D076</t>
  </si>
  <si>
    <t>D077</t>
  </si>
  <si>
    <t>D078</t>
  </si>
  <si>
    <t>D079</t>
  </si>
  <si>
    <t>D080</t>
  </si>
  <si>
    <t>D081</t>
  </si>
  <si>
    <t>D082</t>
  </si>
  <si>
    <t>D083</t>
  </si>
  <si>
    <t>D084</t>
  </si>
  <si>
    <t>D085</t>
  </si>
  <si>
    <t>D086</t>
  </si>
  <si>
    <t>D087</t>
  </si>
  <si>
    <t>D088</t>
  </si>
  <si>
    <t>D089</t>
  </si>
  <si>
    <t>H001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</si>
  <si>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</si>
  <si>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</si>
  <si>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</si>
  <si>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</si>
  <si>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</si>
  <si>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</si>
  <si>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</si>
  <si>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</si>
  <si>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</si>
  <si>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</si>
  <si>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</si>
  <si>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</si>
  <si>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</si>
  <si>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</si>
  <si>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</si>
  <si>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</si>
  <si>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</si>
  <si>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</si>
  <si>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</si>
  <si>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</si>
  <si>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</si>
  <si>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</si>
  <si>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</si>
  <si>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</si>
  <si>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</si>
  <si>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</si>
  <si>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</si>
  <si>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</si>
  <si>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</si>
  <si>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</si>
  <si>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</si>
  <si>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</si>
  <si>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</si>
  <si>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</si>
  <si>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</si>
  <si>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</si>
  <si>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</si>
  <si>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</si>
  <si>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</si>
  <si>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</si>
  <si>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</si>
  <si>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</si>
  <si>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</si>
  <si>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</si>
  <si>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</si>
  <si>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</si>
  <si>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</si>
  <si>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</si>
  <si>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</si>
  <si>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H051</t>
  </si>
  <si>
    <t>H052</t>
  </si>
  <si>
    <t>H053</t>
  </si>
  <si>
    <t>H054</t>
  </si>
  <si>
    <t>H055</t>
  </si>
  <si>
    <t>H056</t>
  </si>
  <si>
    <t>H057</t>
  </si>
  <si>
    <t>H058</t>
  </si>
  <si>
    <t>H059</t>
  </si>
  <si>
    <t>H060</t>
  </si>
  <si>
    <t>H061</t>
  </si>
  <si>
    <t>H062</t>
  </si>
  <si>
    <t>H063</t>
  </si>
  <si>
    <t>H064</t>
  </si>
  <si>
    <t>H065</t>
  </si>
  <si>
    <t>H066</t>
  </si>
  <si>
    <t>H067</t>
  </si>
  <si>
    <t>H068</t>
  </si>
  <si>
    <t>H069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</si>
  <si>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</si>
  <si>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</si>
  <si>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</si>
  <si>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</si>
  <si>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</si>
  <si>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</si>
  <si>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</si>
  <si>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</si>
  <si>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</si>
  <si>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</si>
  <si>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</si>
  <si>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</si>
  <si>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</si>
  <si>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</si>
  <si>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</si>
  <si>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</si>
  <si>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</si>
  <si>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</si>
  <si>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</si>
  <si>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H089</t>
  </si>
  <si>
    <t>H090</t>
  </si>
  <si>
    <t>H091</t>
  </si>
  <si>
    <t>H092</t>
  </si>
  <si>
    <t>H093</t>
  </si>
  <si>
    <t>H094</t>
  </si>
  <si>
    <t>H095</t>
  </si>
  <si>
    <t>H096</t>
  </si>
  <si>
    <t>H097</t>
  </si>
  <si>
    <t>H098</t>
  </si>
  <si>
    <t>H099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</si>
  <si>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</si>
  <si>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</si>
  <si>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</si>
  <si>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</si>
  <si>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</si>
  <si>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</si>
  <si>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</si>
  <si>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</si>
  <si>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</si>
  <si>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</si>
  <si>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</si>
  <si>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</si>
  <si>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</si>
  <si>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</si>
  <si>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</si>
  <si>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</si>
  <si>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</si>
  <si>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</si>
  <si>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</si>
  <si>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</si>
  <si>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</si>
  <si>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</si>
  <si>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</si>
  <si>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</si>
  <si>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</si>
  <si>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</si>
  <si>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</si>
  <si>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</si>
  <si>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</si>
  <si>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</si>
  <si>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</si>
  <si>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</si>
  <si>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</si>
  <si>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</si>
  <si>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</si>
  <si>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</si>
  <si>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</si>
  <si>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</si>
  <si>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</si>
  <si>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</si>
  <si>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</si>
  <si>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</si>
  <si>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</si>
  <si>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</si>
  <si>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</si>
  <si>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</si>
  <si>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</si>
  <si>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</si>
  <si>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</si>
  <si>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</si>
  <si>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</si>
  <si>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</si>
  <si>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</si>
  <si>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</si>
  <si>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</si>
  <si>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</si>
  <si>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</si>
  <si>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</si>
  <si>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</si>
  <si>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</si>
  <si>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</si>
  <si>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</si>
  <si>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</si>
  <si>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</si>
  <si>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</si>
  <si>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</si>
  <si>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</si>
  <si>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</si>
  <si>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</si>
  <si>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</si>
  <si>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</si>
  <si>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</si>
  <si>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</si>
  <si>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</si>
  <si>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</si>
  <si>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</si>
  <si>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</si>
  <si>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</si>
  <si>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</si>
  <si>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</si>
  <si>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</si>
  <si>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</si>
  <si>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</si>
  <si>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</si>
  <si>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</si>
  <si>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</si>
  <si>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</si>
  <si>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</si>
  <si>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</si>
  <si>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H189</t>
  </si>
  <si>
    <t>H190</t>
  </si>
  <si>
    <t>H191</t>
  </si>
  <si>
    <t>H192</t>
  </si>
  <si>
    <t>H193</t>
  </si>
  <si>
    <t>H194</t>
  </si>
  <si>
    <t>H195</t>
  </si>
  <si>
    <t>H196</t>
  </si>
  <si>
    <t>H197</t>
  </si>
  <si>
    <t>H198</t>
  </si>
  <si>
    <t>H199</t>
  </si>
  <si>
    <t>H200</t>
  </si>
  <si>
    <t>H201</t>
  </si>
  <si>
    <t>H202</t>
  </si>
  <si>
    <t>H203</t>
  </si>
  <si>
    <t>H204</t>
  </si>
  <si>
    <t>H205</t>
  </si>
  <si>
    <t>H206</t>
  </si>
  <si>
    <t>H207</t>
  </si>
  <si>
    <t>H208</t>
  </si>
  <si>
    <t>H209</t>
  </si>
  <si>
    <t>H210</t>
  </si>
  <si>
    <t>H211</t>
  </si>
  <si>
    <t>H212</t>
  </si>
  <si>
    <t>H213</t>
  </si>
  <si>
    <t>H214</t>
  </si>
  <si>
    <t>H215</t>
  </si>
  <si>
    <t>H216</t>
  </si>
  <si>
    <t>H217</t>
  </si>
  <si>
    <t>H218</t>
  </si>
  <si>
    <t>Đài Loan</t>
  </si>
  <si>
    <t>Bosch, Đức</t>
  </si>
  <si>
    <t>Đường kính: 12mm_x000D_
Chiều dài phần khoan: 101mm_x000D_
Tổng chiều dài: 151mm_x000D_
Gồm 5 mũi_x000D_
Vật liệu: HSS-Co</t>
  </si>
  <si>
    <t>Thù lao tham gia NV</t>
  </si>
  <si>
    <t>Chi nhánh Phía Nam, Trung tâm Nhiệt đới Việt - Nga</t>
  </si>
  <si>
    <t>Quý II/2024</t>
  </si>
  <si>
    <t>Trọn gói</t>
  </si>
  <si>
    <t>7 ngày</t>
  </si>
  <si>
    <t>Không</t>
  </si>
  <si>
    <t>Bidding_VN_Version 0.2</t>
  </si>
  <si>
    <t>05/06/2024  14:00:00 CH</t>
  </si>
  <si>
    <t>PHÒNG ĐỘ BỀN NHIỆT ĐỚI</t>
  </si>
  <si>
    <t>Số 3, Đường 3 tháng 2, Phường 11, Quận 10, TP. Hồ Chí Minh</t>
  </si>
  <si>
    <t>GIÁM ĐỐC</t>
  </si>
  <si>
    <t>CHI NHÁNH PHÍA NAM</t>
  </si>
  <si>
    <t>BAN HC-KT</t>
  </si>
  <si>
    <t>3711.1.9059782.00000, Kho bạc Nhà nước Quận 10, Thành phố Hồ Chí Minh</t>
  </si>
  <si>
    <t>0100839134-001</t>
  </si>
  <si>
    <t>Một giai đoạn, một túi hồ sơ</t>
  </si>
  <si>
    <t>F:\DV\11. Dau_Thau\15. PhanMemDauThau\CSDL\MauDauThau</t>
  </si>
  <si>
    <t>Ngân sách Quốc phòng</t>
  </si>
  <si>
    <t>Gói thầu số 02: Thử nghiệm</t>
  </si>
  <si>
    <t>Nam sx</t>
  </si>
  <si>
    <t>[[CNNV_cv]]</t>
  </si>
  <si>
    <t>[[TheTS_Nnhan]]</t>
  </si>
  <si>
    <t>[[TheTS_Nnhan_cv]]</t>
  </si>
  <si>
    <t>[[TaiSan_Ten]]</t>
  </si>
  <si>
    <t>[[TaiSan_NamSX]]</t>
  </si>
  <si>
    <t>[[TaiSan_NuocSX]]</t>
  </si>
  <si>
    <t>[[TaiSan_NamSD]]</t>
  </si>
  <si>
    <t>[[TaiSan_TSKT]]</t>
  </si>
  <si>
    <t>[[TaiSan_Gia]]</t>
  </si>
  <si>
    <t>[[TaiSan_SL]]</t>
  </si>
  <si>
    <t xml:space="preserve">[[TheTS_SoBBGN]] </t>
  </si>
  <si>
    <t>[[TheTS_NgayBBGN]]</t>
  </si>
  <si>
    <t>[[TaiSan_DVT]]</t>
  </si>
  <si>
    <t>Thời gian thực hiện gói thầu (ngày)</t>
  </si>
  <si>
    <t>F:\DV\11. Dau_Thau\15. PhanMemDauThau\TestDT\Moi_240608</t>
  </si>
  <si>
    <t>F:\DV\11. Dau_Thau\15. PhanMemDauThau\TestDT\Moi_240608\Test.xlsx</t>
  </si>
  <si>
    <t>Phòng Độ bền Nhiệt đới\Chi nhánh Phía Nam</t>
  </si>
  <si>
    <t>Tổ Lễ tân\Văn phòng</t>
  </si>
  <si>
    <t>Nghiên cứu nội dung 1</t>
  </si>
  <si>
    <t>ND1: Nghiên cứu nội dung 1</t>
  </si>
  <si>
    <t>Nghiên cứu nội dung 2</t>
  </si>
  <si>
    <t>ND2: Nghiên cứu nội dung 2</t>
  </si>
  <si>
    <t>Nghiên cứu nội dung 3</t>
  </si>
  <si>
    <t>ND3: Nghiên cứu nội dung 3</t>
  </si>
  <si>
    <t>Nghiên cứu nội dung 4</t>
  </si>
  <si>
    <t>ND4: Nghiên cứu nội dung 4</t>
  </si>
  <si>
    <t>1.1</t>
  </si>
  <si>
    <t>Công việc 1: nghiên cứu tại PTN</t>
  </si>
  <si>
    <t>1.1. Công việc 1: nghiên cứu tại PTN</t>
  </si>
  <si>
    <t>1.2</t>
  </si>
  <si>
    <t xml:space="preserve">Công việc 1: nghiên cứu tại trạm </t>
  </si>
  <si>
    <t xml:space="preserve">1.2. Công việc 1: nghiên cứu tại trạm </t>
  </si>
  <si>
    <t>1.1.1</t>
  </si>
  <si>
    <t>Công việc 1.1: Chế tạo chất x</t>
  </si>
  <si>
    <t>1.1.1. Công việc 1.1: Chế tạo chất x</t>
  </si>
  <si>
    <t>1.1.2</t>
  </si>
  <si>
    <t>Công việc 1.1: Chế tạo chất y</t>
  </si>
  <si>
    <t>1.1.2. Công việc 1.1: Chế tạo chất y</t>
  </si>
  <si>
    <t>2.1.1</t>
  </si>
  <si>
    <t>Công việc 2.1: Chế tạo chất yz</t>
  </si>
  <si>
    <t>2.1.1. Công việc 2.1: Chế tạo chất yz</t>
  </si>
  <si>
    <t>2.1.2</t>
  </si>
  <si>
    <t>Công việc 2.1: Chế tạo chất yzff</t>
  </si>
  <si>
    <t>2.1.2. Công việc 2.1: Chế tạo chất yzff</t>
  </si>
  <si>
    <t>2.1.2.1</t>
  </si>
  <si>
    <t>Lên kh thực nghiệm</t>
  </si>
  <si>
    <t>2.1.2.1. Lên kh thực nghiệm</t>
  </si>
  <si>
    <t>2.1.2.2</t>
  </si>
  <si>
    <t>Thử nghiệm</t>
  </si>
  <si>
    <t>2.1.2.2. Thử nghiệm</t>
  </si>
  <si>
    <t>Parent folder dự toán</t>
  </si>
  <si>
    <t>Folder path dự toán</t>
  </si>
  <si>
    <t>Thông tin khác</t>
  </si>
  <si>
    <t>Loại thông tin</t>
  </si>
  <si>
    <t>Giá trị</t>
  </si>
  <si>
    <t>Lương cơ sở</t>
  </si>
  <si>
    <t>Lương cơ sở (triệu đ)</t>
  </si>
  <si>
    <t>Định mức tiền công (triệu đ)</t>
  </si>
  <si>
    <t>triệu đ/người</t>
  </si>
  <si>
    <t>triệu đ/phiếu</t>
  </si>
  <si>
    <t>Tên nhiệm vụ</t>
  </si>
  <si>
    <t>CNNV</t>
  </si>
  <si>
    <t>Cấp chủ quản</t>
  </si>
  <si>
    <t>Định mức tiền công</t>
  </si>
  <si>
    <t>Nguyên, vật liệu</t>
  </si>
  <si>
    <t>Mã HS code</t>
  </si>
  <si>
    <t>Bao gồm: 8, 9, 10, 11, 12, 13, 14, 15, 16, 17, 19, 21, 22, 24mm, Túi vải_x000D_
Trọng lượng: 2.5kg</t>
  </si>
  <si>
    <t>- Dùng để cắt vật liệu có độ cứng &gt;60HRC_x000D_
- Kích thước 12"_x000D_
- Dày 0.079"_x000D_
- Resin bonded_x000D_
- Hộp 10 cái</t>
  </si>
  <si>
    <t>- Đường kính 3 inch, chiều dày 7 mm_x000D_
- Độ sạch 99,5%</t>
  </si>
  <si>
    <t>Vật liệu mũi khoan: hợp kim Titanium nitrified_x000D_
Đáp ứng tiêu chuẩn: DIN 338._x000D_
Góc đỉnh mũi khoan: 118o_x000D_
Dùng cho kim loại có độ kháng xé: 900 N/mm2._x000D_
Mũi khoan thuận, kiểu N._x000D_
Dung sai đường kính: h8_x000D_
Chuôi khoan: tròn._x000D_
Thành phần: Ø3, 4, 5, 6, Ø8mm</t>
  </si>
  <si>
    <t>Đức</t>
  </si>
  <si>
    <t>Scharlau</t>
  </si>
  <si>
    <t>-Độ tinh khiết: ≥99.0%_x000D_
-Áp suất hơi: &lt;0.01 mmHg ( 20 °C)</t>
  </si>
  <si>
    <t>Loại ACS reagent_x000D_
Áp suất hơi: &lt;0.01 mmHg ( 20 °C)_x000D_
Độ tinh khiết: ≥99.0%_x000D_
Kim loại nặng: ≤0.001% (by ICP)</t>
  </si>
  <si>
    <t>Famag, Đức</t>
  </si>
  <si>
    <t>Hàn Quốc</t>
  </si>
  <si>
    <t>Vesta Metal, N</t>
  </si>
  <si>
    <t>Hinos</t>
  </si>
  <si>
    <t>Merck</t>
  </si>
  <si>
    <t>Merc</t>
  </si>
  <si>
    <t>CAMECO -Việt Nam</t>
  </si>
  <si>
    <t>KALSEN</t>
  </si>
  <si>
    <t>Holex, Đức</t>
  </si>
  <si>
    <t>Autosol, Đức</t>
  </si>
  <si>
    <t>IsoLab-Đức</t>
  </si>
  <si>
    <t>Duran, Đức</t>
  </si>
  <si>
    <t>Duran - Đức</t>
  </si>
  <si>
    <t>Duran -Đức</t>
  </si>
  <si>
    <t>IsoLab- Đức</t>
  </si>
  <si>
    <t>Merck - Đức</t>
  </si>
  <si>
    <t>Merck, Đức</t>
  </si>
  <si>
    <t>Italy</t>
  </si>
  <si>
    <t>Optika-Italy</t>
  </si>
  <si>
    <t>Neomask, Việt Nam</t>
  </si>
  <si>
    <t>Asia Medic, Việt Nam</t>
  </si>
  <si>
    <t>NeoShield, Việt Nam</t>
  </si>
  <si>
    <t>Perfetta, Việt Nam</t>
  </si>
  <si>
    <t xml:space="preserve">
Việt Nam</t>
  </si>
  <si>
    <t>Secco- Việt Nam</t>
  </si>
  <si>
    <t>Stanley, Trung Quốc</t>
  </si>
  <si>
    <t>Tolsen, Trung Quốc</t>
  </si>
  <si>
    <t>Xilong, Trung Quốc</t>
  </si>
  <si>
    <t>Nhật</t>
  </si>
  <si>
    <t>Omron, Nhật</t>
  </si>
  <si>
    <t>Bueher, USAA</t>
  </si>
  <si>
    <t>METLAB, USA</t>
  </si>
  <si>
    <t>Oerlikon, USA</t>
  </si>
  <si>
    <t>CGW, USA</t>
  </si>
  <si>
    <t>USA</t>
  </si>
  <si>
    <t>Leco, USA</t>
  </si>
  <si>
    <t>Allied High Tech Products,Inc.,USA</t>
  </si>
  <si>
    <t>Allied High Tech ProductsInc.,USA</t>
  </si>
  <si>
    <t>Tyler, USA</t>
  </si>
  <si>
    <t>Buehler</t>
  </si>
  <si>
    <t>Đĩa mài nỉ Boschh</t>
  </si>
  <si>
    <t>Bosch</t>
  </si>
  <si>
    <t>- Đường kính 100 mm, lỗ đĩa 16 mm, độ mịn #1500, #2000. - Boschh hoặc tương đương</t>
  </si>
  <si>
    <t>- Đường kính bánh mài: 150 mm - Công suất đầu vào định mức: 350 W - Chiều rộng bánh mài: 20 mm - Tốc độ không tải: 3.000 vòng/phút - Đường kính lỗ bệ bánh của bánh mài: 20 mm - Trọng lượng: 10 kg - Kích thước dụng cụ (chiều rộng) 175 mm - Kích thước dụng cụ (chiều dài) 325 mm - Kích thước dụng cụ (chiều cao) 200 mm. - Boschh Professional hoặc tương đương</t>
  </si>
  <si>
    <t>Nhật Bản</t>
  </si>
  <si>
    <t>Makita, Nhật Bản</t>
  </si>
  <si>
    <t>Finetech, Đài Loan</t>
  </si>
  <si>
    <t>Superier, Đài Loan</t>
  </si>
  <si>
    <t>Hà Lan</t>
  </si>
  <si>
    <t>AIMOL- Hà Lann</t>
  </si>
  <si>
    <t>Isolab</t>
  </si>
  <si>
    <t>Schott-Duran</t>
  </si>
  <si>
    <t>IsoLab, Đức</t>
  </si>
  <si>
    <t>Sigma Aldrich</t>
  </si>
  <si>
    <t>Thái Lan</t>
  </si>
  <si>
    <t>Tên tiếng LB Nga</t>
  </si>
  <si>
    <t>Vesta Metal, LB Nga</t>
  </si>
  <si>
    <t xml:space="preserve">LB Nga
</t>
  </si>
  <si>
    <t>LB LB Nga</t>
  </si>
  <si>
    <t>Shanxi, Trung Quốc</t>
  </si>
  <si>
    <t xml:space="preserve">Merck_x000D_
</t>
  </si>
  <si>
    <t>Grade ACS reagent_x000D_
_x000D_
Độ tinh khiết : 95-98.0%</t>
  </si>
  <si>
    <t xml:space="preserve">Ấn Độ_x000D_
</t>
  </si>
  <si>
    <t>Màu: trắng_x000D_
Dầu nền: dầu silicone_x000D_
Chất làm đặc: vô cơ</t>
  </si>
  <si>
    <t>- Nhiệt độ sôi: 1461 °C (1013 hPa)_x000D_
- Khối lượng riêng: 1461 °C (1013 hPa)_x000D_
- Nhiệt độ nóng chảy: 801 °C - Giá trị pH: .5 - 7.0 (100 g/l, H₂O, 20 °C)_x000D_
- Ấp suất hơi: 1.3 hPa (865 °C)_x000D_
- Độ tinh khiết: ≥ 99.5 %_x000D_
- Merck hoặc tương đương</t>
  </si>
  <si>
    <t>F:\DV\11. Dau_Thau\15. PhanMemDauThau\TestModDauThau</t>
  </si>
  <si>
    <t>Nhiệm vụ</t>
  </si>
  <si>
    <t>Nhiệm vụ xây dựng phần mềm hỗ trợ đấu thầu</t>
  </si>
  <si>
    <t>Trung tâm Nhiệt đới Việt - Nga</t>
  </si>
  <si>
    <t>Từ tháng 12/2023 đến tháng 8/2024</t>
  </si>
  <si>
    <t>598.000.000</t>
  </si>
  <si>
    <t>(Bằng chữ: Năm trăm chín mươi tám triệu đồng)</t>
  </si>
  <si>
    <t>phê duyệt kinh phí và giao nhiệm vụ khoa học và công nghệ cấp Trung tâm Nhiệt đới Việt - Nga năm 2024</t>
  </si>
  <si>
    <t>1215/QÐ-TTNÐVN</t>
  </si>
  <si>
    <t>14/12/2023</t>
  </si>
  <si>
    <t>về việc giao Dự toán ngân sách nhà nước năm 2024</t>
  </si>
  <si>
    <t>1512/QÐ-CNPN</t>
  </si>
  <si>
    <t>Thù lao tham gia nhiệm vụ</t>
  </si>
  <si>
    <t>Định mức dự toán thù lao tham gia nhiệm vụ KH&amp;CN (Mục 5.1 theo Hướng dẫn số 3504/HD-TTNĐVN ngày 21/09/2023)</t>
  </si>
  <si>
    <t>Hàng hóa</t>
  </si>
  <si>
    <t>Gói thầu số 01: Mua linh kiện, phần mềm</t>
  </si>
  <si>
    <t>Mua linh kiện phần mềm</t>
  </si>
  <si>
    <t>Chỉ định thầu rút gọn</t>
  </si>
  <si>
    <t>Không có phương thức LCNT</t>
  </si>
  <si>
    <t>98.000.000</t>
  </si>
  <si>
    <t>Phi tư vấn</t>
  </si>
  <si>
    <t>Mua dịch vụ thử nghiệm</t>
  </si>
  <si>
    <t>Chào hàng cạnh tranh</t>
  </si>
  <si>
    <t>10 ngày</t>
  </si>
  <si>
    <t>218.000.000</t>
  </si>
  <si>
    <t>(Bằng chữ: Hai trăm mười tám triệu đồng)</t>
  </si>
  <si>
    <t>ngày 01 tháng 06 năm 2024</t>
  </si>
  <si>
    <t>ngày 02 tháng 06 năm 2024</t>
  </si>
  <si>
    <t>/QÐ-CNPN</t>
  </si>
  <si>
    <t>ngày 03 tháng 06 năm 2024</t>
  </si>
  <si>
    <t>/GUQ-CNPN</t>
  </si>
  <si>
    <t>PL001</t>
  </si>
  <si>
    <t>03/QÐ-CNPN</t>
  </si>
  <si>
    <t>ngày 06 tháng 06 năm 2024</t>
  </si>
  <si>
    <t>04/QÐ-CNPN</t>
  </si>
  <si>
    <t>ngày 07 tháng 06 năm 2024</t>
  </si>
  <si>
    <t>ngày 11 tháng 06 năm 2024</t>
  </si>
  <si>
    <t>68.600.000</t>
  </si>
  <si>
    <t>ngày 08 tháng 06 năm 2024</t>
  </si>
  <si>
    <t>ngày 09 tháng 06 năm 2024</t>
  </si>
  <si>
    <t>ngày 10 tháng 06 năm 2024</t>
  </si>
  <si>
    <t>IB001</t>
  </si>
  <si>
    <t>Đạt</t>
  </si>
  <si>
    <t>96.000.000</t>
  </si>
  <si>
    <t>vn01U8006648</t>
  </si>
  <si>
    <t>(Bằng chữ: Hai triệu đồng)</t>
  </si>
  <si>
    <t>18/06/2024</t>
  </si>
  <si>
    <t>19/06/2024</t>
  </si>
  <si>
    <t>ngày 19 tháng 06 năm 2024</t>
  </si>
  <si>
    <t>26/06/2024</t>
  </si>
  <si>
    <t>ngày 26 tháng 06 năm 2024</t>
  </si>
  <si>
    <t>[[DeDanh]]</t>
  </si>
  <si>
    <t>13/06/2024</t>
  </si>
  <si>
    <t>ngày 13 tháng 06 năm 2024</t>
  </si>
  <si>
    <t>(Bằng chữ: Chín mươi sáu triệu đồng)</t>
  </si>
  <si>
    <t>Số 3 đường 3 tháng 2</t>
  </si>
  <si>
    <t>ngày 12 tháng 06 năm 2024</t>
  </si>
  <si>
    <t>01/24/BBTT</t>
  </si>
  <si>
    <t>ngày 18 tháng 06 năm 2024</t>
  </si>
  <si>
    <t>20/06/2024</t>
  </si>
  <si>
    <t>ngày 20 tháng 06 năm 2024</t>
  </si>
  <si>
    <t>21/06/2024</t>
  </si>
  <si>
    <t>ngày 21 tháng 06 năm 2024</t>
  </si>
  <si>
    <t>22/06/2024</t>
  </si>
  <si>
    <t>02/24/HĐMB-ĐB</t>
  </si>
  <si>
    <t>ngày 22 tháng 06 năm 2024</t>
  </si>
  <si>
    <t>[[HDTT_SL]]</t>
  </si>
  <si>
    <t>08 giờ 26 phút</t>
  </si>
  <si>
    <t>09 giờ 30 phút</t>
  </si>
  <si>
    <t>Nhà thầu xin rút</t>
  </si>
  <si>
    <t>4.800.000</t>
  </si>
  <si>
    <t>(Bằng chữ: Bốn triệu, tám trăm ngàn đồng)</t>
  </si>
  <si>
    <t>ngày 01 tháng 07 năm 2024</t>
  </si>
  <si>
    <t>Tên gói thầu: Gói thầu số 01: Mua linh kiện, phần mềm_x000D_
Nội dung chính của gói thầu: Mua linh kiện phần mềm</t>
  </si>
  <si>
    <t>Giá gói thầu: 98000000</t>
  </si>
  <si>
    <t>Nguồn vốn: Ngân sách Quốc phòng</t>
  </si>
  <si>
    <t>Phương thức LCNT: Không có phương thức LCNT</t>
  </si>
  <si>
    <t>Thời gian bắt đầu tổ chức LCNT: Quý II/2024</t>
  </si>
  <si>
    <t>Loạ hợp đồng: Trọn gói</t>
  </si>
  <si>
    <t>Thời gian thực hiện gói thầu: 7 ngày</t>
  </si>
  <si>
    <t>Tùy chọn mua thêm: Không</t>
  </si>
  <si>
    <t>Giám sát hoạt động đấu thầu: Ban Tài chính</t>
  </si>
  <si>
    <t>Tên gói thầu: Gói thầu số 02: Thử nghiệm_x000D_
Nội dung chính của gói thầu: Mua dịch vụ thử nghiệm</t>
  </si>
  <si>
    <t>Giá gói thầu: 120000000</t>
  </si>
  <si>
    <t>Phương thức LCNT: Một giai đoạn, một túi hồ sơ</t>
  </si>
  <si>
    <t>Thời gian thực hiện gói thầu: 10 ngày</t>
  </si>
  <si>
    <t>Hình thức lựa chọn nhà thầu: Chỉ định thầu rút gọn</t>
  </si>
  <si>
    <t>Thời gian tổ chức LCNT: 15 ngày</t>
  </si>
  <si>
    <t>Hình thức lựa chọn nhà thầu: Chào hàng cạnh tranh</t>
  </si>
  <si>
    <t>Thời gian tổ chức LCNT: 30 ngày</t>
  </si>
  <si>
    <t>_x000D_
Gói thầu số 01: Mua linh kiện, phần mềm: 15 ngày_x000D_
Gói thầu số 02: Thử nghiệm: 30 ngày</t>
  </si>
  <si>
    <t>_x000D_
Gói thầu số 01: Mua linh kiện, phần mềm: Không_x000D_
Gói thầu số 02: Thử nghiệm: Không</t>
  </si>
  <si>
    <t>_x000D_
Gói thầu số 01: Mua linh kiện, phần mềm: Ban Tài chính_x000D_
Gói thầu số 02: Thử nghiệm: Ban Tài chính</t>
  </si>
  <si>
    <t>_x000D_
1. Thù lao tham gia nhiệm vụ: Định mức dự toán thù lao tham gia nhiệm vụ KH&amp;CN (Mục 5.1 theo Hướng dẫn số 3504/HD-TTNĐVN ngày 21/09/2023)</t>
  </si>
  <si>
    <t>_x000D_
2. Cửa hàng hóa chất và thiết bị 40 Kim Ngưu_x000D_
1. Hộ kinh doanh Cửa hàng vật tư khoa học MTD</t>
  </si>
  <si>
    <t>_x000D_
2. Cửa hàng hóa chất và thiết bị 40 Kim Ngưu_x000D_
1. Hộ kinh doanh Cửa hàng vật tư khoa học MTD_x000D_
1. Hộ kinh doanh Cửa hàng vật tư khoa học MTDGiá dự thầu: Hộ kinh doanh Cửa hàng vật tư khoa học MTD, bằng chữ: 98.000.000</t>
  </si>
  <si>
    <t>_x000D_
STT. Tên nhà thầu, lý do: Lý do bị loại_x000D_
1. Cửa hàng hóa chất và thiết bị 40 Kim Ngưu, lý do: Nhà thầu xin rút</t>
  </si>
  <si>
    <t>Danh sách đề tài và gói thầu đã thực hiện trên phần mềm này</t>
  </si>
  <si>
    <t>Tên đề tài</t>
  </si>
  <si>
    <t>[[DeTai_Nam]]</t>
  </si>
  <si>
    <t>[[GoiThau_ID]]</t>
  </si>
  <si>
    <t>Vị trí lưu project</t>
  </si>
  <si>
    <t>Gói thầu số 02</t>
  </si>
  <si>
    <t>ID gói thầu</t>
  </si>
  <si>
    <t>Ngành hậu cần</t>
  </si>
  <si>
    <t>Danh mục phân loại</t>
  </si>
  <si>
    <t>Đường, xà phòng nuôi quân (NSQP, 6250-6299-30-00)</t>
  </si>
  <si>
    <t>Tiền điện (NSQP, 6500-6501-00-56 và NSQPK 010-013-6500-6501-00-56)</t>
  </si>
  <si>
    <t>Tiền nước (NSQP, 6500-6502-00-56 và NSQPK, 010-013-6500-6502-00-56)</t>
  </si>
  <si>
    <t>Tiền xăng (NSQP và NSQPK 6500-6503-10-54 )</t>
  </si>
  <si>
    <t>Tiền dầu Diezel (NSQP và NSQPK 6500-6503-20-54 )</t>
  </si>
  <si>
    <t>Dầu mỡ chuyên dụng (NSQPK 010-013-6500-6503-20-54)</t>
  </si>
  <si>
    <t xml:space="preserve">Thuê phương tiện vận chuyển (NSQP và NSQPK, 6750-6751-00-55) </t>
  </si>
  <si>
    <t>S/c tài sản đặc biệt tại đơn vị - Quân khí (NSQP, 6900-6905-10-64)</t>
  </si>
  <si>
    <t>S/c tài sản chuyên dụng tại đơn vị TMKT (NSQP, 6900-6905-30-60)</t>
  </si>
  <si>
    <t>S/c TSCD chuyên dụng tại đơn vị - Xe máy và S/c tài sản p.vu c.tác q.lý - ô tô, xe máy  (NSQP, 6900-6905-30-65 và NSQPK  6900-6949-30-65 )</t>
  </si>
  <si>
    <t>S/c TSCD chuyên dụng tại đơn vị Đo lường  (NSQP, 6900-6905-30-67)</t>
  </si>
  <si>
    <t>Bảo trì công trình xây dựng và thang máy (NSQP, 6900-6907-10-56)</t>
  </si>
  <si>
    <t>Bảo trì thang máy  (NSQP, 6900-6907-20-56)</t>
  </si>
  <si>
    <t>S/c duy tu CTCD quân nhu (NSQP, 6900-6949-20-51)</t>
  </si>
  <si>
    <t>S/c duy tu CTCD xăng dầu (NSQP, 6900-6949-20-54)</t>
  </si>
  <si>
    <t>S/c duy tu CTCD vận tải (NSQP, 6900-6949-20-54)</t>
  </si>
  <si>
    <t>S/c duy tu CTCD doanh trại (NSQP và NSQPK, 6900-6949-20-56)</t>
  </si>
  <si>
    <t>Mua sắm tài sản chuyên dụng doanh trại (NSQP, 6950-6954-20-56)</t>
  </si>
  <si>
    <t>Thuốc và bông băng và Tiền y tế trong cơ quan đơn vị (NSQP, 7000-7001-10-53 và NSQPK, 6250-6254-00-53)</t>
  </si>
  <si>
    <t>Doanh cụ, doanh trại và Doanh cụ (NSQP, 7000-7001-20-56 và NSQPK, 7000-7001-20-00)</t>
  </si>
  <si>
    <t>Dụng cụ - quân nhu  (NSQP, 7000-7001-30-51)</t>
  </si>
  <si>
    <t>Dụng cụ - doanh trại  (NSQP, 7000-7001-30-56)</t>
  </si>
  <si>
    <t>Trang thiết bị kỹ thuật CD-TMKT (NSQP, 7000-7001-40-60)</t>
  </si>
  <si>
    <t xml:space="preserve">Chi khác - Quân y (NSQP, 7000-7001-90-53) </t>
  </si>
  <si>
    <t>Quân trang thường xuyên (NSQP, 7000/7004/00/51 - Cấp tiền thay vật)</t>
  </si>
  <si>
    <t>Bảo hộ lao động (NSQP, 7000-7004-30-66)</t>
  </si>
  <si>
    <t>Chi phí hoạt động chuyên ngành và Chi khác (NSQP: 7000-7012-00-50; 7000-7012-00-53; 7000-7012-00-54; 7000-7012-00-55; 7000-7012-00-77; 7750-7799-40-60; 7750-7799-50-50)</t>
  </si>
  <si>
    <t>Tiền vệ sinh môi trường (NSQPK, 6500-6504-00-53)</t>
  </si>
  <si>
    <t>Chi khác (NSQPK, 6500-6548-00-00)</t>
  </si>
  <si>
    <t>S/c Tài sản phục vụ công tác quản lý khoa học quân sự (NSQPK 010-013-6900-6949-30-72)</t>
  </si>
  <si>
    <t>Mua sắm tài sản chuyên dùng KHQS (NSQPK 010-013-6950-6954-20-72)</t>
  </si>
  <si>
    <t>Hỗ trợ đơn vị sự nghiệp (NSQPK) - Đề nghị Ban Tài chính bố trí bổ sung nguồn kinh phí</t>
  </si>
  <si>
    <t>Ngân sách còn lại của các mục kinh phí và các gói thầu</t>
  </si>
  <si>
    <t>Gói thầu số mấy?</t>
  </si>
  <si>
    <t>Số lượng gói thầu đã thực hiện:</t>
  </si>
  <si>
    <t>Gói thầu đang thực hiện:</t>
  </si>
  <si>
    <t>Vị trí lưu project đấu thầu:</t>
  </si>
  <si>
    <t>Vị trí lưu project dự toán:</t>
  </si>
  <si>
    <t>THỐNG KÊ</t>
  </si>
  <si>
    <t>Tên gói thầu đang thực hiện</t>
  </si>
  <si>
    <t>Dự toán đang thực hiện:</t>
  </si>
  <si>
    <t>Tên dự toán đang thực hiện</t>
  </si>
  <si>
    <t>402.120.000</t>
  </si>
  <si>
    <t>(Bằng chữ: Bốn trăm lẻ hai triệu, một trăm hai mươi ngàn đồng)</t>
  </si>
  <si>
    <t>F:\DV\11. Dau_Thau\15. PhanMemDauThau\TestModDauThau\GoiSo2.xlsx</t>
  </si>
  <si>
    <t>120.000.000</t>
  </si>
  <si>
    <t>(Bằng chữ: Một trăm hai mươi triệu đồng)</t>
  </si>
  <si>
    <t>84.000.000</t>
  </si>
  <si>
    <t>180.000.000</t>
  </si>
  <si>
    <t>1,5</t>
  </si>
  <si>
    <t>_x000D_
Gói thầu số 01: Mua linh kiện, phần mềm: Quý II/2024_x000D_
Gói thầu số 02: Thử nghiệm: Quý II/2024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</si>
</sst>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-* #,##0.00\ _₫_-;\-* #,##0.00\ _₫_-;_-* &quot;-&quot;??\ _₫_-;_-@_-"/>
    <numFmt numFmtId="166" formatCode="[$-F400]h:mm:ss\ AM/PM"/>
    <numFmt numFmtId="167" formatCode="_(* #,##0_);_(* \(#,##0\);_(* &quot;-&quot;??_);_(@_)"/>
    <numFmt numFmtId="168" formatCode="0.000"/>
    <numFmt numFmtId="169" formatCode="_(* #,##0.000_);_(* \(#,##0.000\);_(* &quot;-&quot;??_);_(@_)"/>
    <numFmt numFmtId="170" formatCode="_-* #,##0_-;\-* #,##0_-;_-* &quot;-&quot;??_-;_-@_-"/>
  </numFmts>
  <fonts count="5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8"/>
      <name val="Arial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theme="1"/>
      <name val="Times New Roman"/>
      <family val="1"/>
    </font>
    <font>
      <sz val="10"/>
      <name val="Times New Roman"/>
      <family val="1"/>
    </font>
    <font>
      <sz val="11"/>
      <color rgb="FF9C0006"/>
      <name val="Arial"/>
      <family val="2"/>
      <scheme val="minor"/>
    </font>
    <font>
      <sz val="14"/>
      <color theme="1"/>
      <name val="Times New Roman"/>
      <family val="2"/>
      <charset val="204"/>
    </font>
    <font>
      <b/>
      <sz val="10"/>
      <name val="Arial"/>
      <family val="2"/>
    </font>
    <font>
      <i/>
      <sz val="11"/>
      <color theme="1"/>
      <name val="Arial"/>
      <family val="2"/>
      <scheme val="minor"/>
    </font>
    <font>
      <sz val="11"/>
      <name val="Arial"/>
      <family val="2"/>
      <scheme val="minor"/>
    </font>
    <font>
      <sz val="11"/>
      <name val="Arial"/>
      <family val="2"/>
      <charset val="163"/>
      <scheme val="minor"/>
    </font>
    <font>
      <sz val="11"/>
      <name val="Times New Roman"/>
      <family val="1"/>
      <scheme val="major"/>
    </font>
    <font>
      <b/>
      <sz val="10"/>
      <color theme="1"/>
      <name val="Times New Roman"/>
      <family val="1"/>
    </font>
    <font>
      <b/>
      <sz val="10"/>
      <color theme="1"/>
      <name val="Times New Roman"/>
      <family val="1"/>
      <scheme val="major"/>
    </font>
    <font>
      <sz val="10"/>
      <color theme="1"/>
      <name val="Times New Roman"/>
      <family val="1"/>
      <scheme val="major"/>
    </font>
    <font>
      <sz val="10"/>
      <color rgb="FF000000"/>
      <name val="Times New Roman"/>
      <family val="1"/>
      <scheme val="major"/>
    </font>
    <font>
      <b/>
      <sz val="11"/>
      <color theme="1"/>
      <name val="Times New Roman"/>
      <family val="1"/>
      <scheme val="major"/>
    </font>
    <font>
      <sz val="11"/>
      <color theme="1"/>
      <name val="Times New Roman"/>
      <family val="1"/>
      <scheme val="major"/>
    </font>
    <font>
      <i/>
      <sz val="11"/>
      <name val="Times New Roman"/>
      <family val="1"/>
      <scheme val="major"/>
    </font>
    <font>
      <vertAlign val="superscript"/>
      <sz val="11"/>
      <name val="Times New Roman"/>
      <family val="1"/>
      <scheme val="major"/>
    </font>
    <font>
      <b/>
      <sz val="11"/>
      <name val="Times New Roman"/>
      <family val="1"/>
      <scheme val="major"/>
    </font>
    <font>
      <sz val="13"/>
      <name val="Arial"/>
      <family val="2"/>
      <scheme val="minor"/>
    </font>
    <font>
      <sz val="8"/>
      <color theme="1"/>
      <name val="Arial"/>
      <family val="2"/>
      <scheme val="minor"/>
    </font>
    <font>
      <sz val="12"/>
      <color indexed="8"/>
      <name val="Times New Roman"/>
      <family val="1"/>
    </font>
    <font>
      <sz val="13"/>
      <name val="Times New Roman"/>
      <family val="1"/>
    </font>
    <font>
      <sz val="10"/>
      <color theme="1"/>
      <name val="Arial"/>
      <family val="2"/>
      <charset val="163"/>
      <scheme val="minor"/>
    </font>
    <font>
      <sz val="12"/>
      <color rgb="FF000000"/>
      <name val="Times New Roman"/>
      <family val="1"/>
    </font>
    <font>
      <b/>
      <sz val="9"/>
      <name val="Arial"/>
      <family val="2"/>
    </font>
    <font>
      <sz val="9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0"/>
      <color rgb="FFFF0000"/>
      <name val="Times New Roman"/>
      <family val="1"/>
    </font>
    <font>
      <sz val="10"/>
      <color rgb="FFFF0000"/>
      <name val="Arial"/>
      <family val="2"/>
      <scheme val="minor"/>
    </font>
    <font>
      <sz val="11"/>
      <name val="Times New Roman"/>
      <family val="1"/>
    </font>
    <font>
      <sz val="11"/>
      <color rgb="FFFF0000"/>
      <name val="Times New Roman"/>
      <family val="1"/>
    </font>
    <font>
      <b/>
      <sz val="8"/>
      <color theme="1"/>
      <name val="Arial"/>
      <family val="2"/>
      <scheme val="minor"/>
    </font>
    <font>
      <b/>
      <sz val="11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1" fillId="0" borderId="0"/>
    <xf numFmtId="166" fontId="14" fillId="0" borderId="0"/>
    <xf numFmtId="164" fontId="14" fillId="0" borderId="0" applyFont="0" applyFill="0" applyBorder="0" applyAlignment="0" applyProtection="0"/>
    <xf numFmtId="0" fontId="17" fillId="0" borderId="0"/>
    <xf numFmtId="165" fontId="14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22" fillId="3" borderId="0" applyNumberFormat="0" applyBorder="0" applyAlignment="0" applyProtection="0"/>
    <xf numFmtId="0" fontId="23" fillId="0" borderId="0"/>
    <xf numFmtId="0" fontId="17" fillId="0" borderId="0"/>
    <xf numFmtId="0" fontId="9" fillId="0" borderId="0"/>
    <xf numFmtId="164" fontId="9" fillId="0" borderId="0" applyFont="0" applyFill="0" applyBorder="0" applyAlignment="0" applyProtection="0"/>
    <xf numFmtId="0" fontId="6" fillId="0" borderId="0"/>
    <xf numFmtId="0" fontId="17" fillId="0" borderId="0"/>
  </cellStyleXfs>
  <cellXfs count="215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 applyAlignment="1">
      <alignment horizontal="right"/>
    </xf>
    <xf numFmtId="0" fontId="15" fillId="0" borderId="0" xfId="0" applyFont="1"/>
    <xf numFmtId="0" fontId="12" fillId="4" borderId="1" xfId="0" applyFont="1" applyFill="1" applyBorder="1"/>
    <xf numFmtId="0" fontId="19" fillId="0" borderId="1" xfId="0" applyFont="1" applyBorder="1"/>
    <xf numFmtId="0" fontId="0" fillId="0" borderId="1" xfId="0" applyBorder="1"/>
    <xf numFmtId="0" fontId="17" fillId="0" borderId="0" xfId="10"/>
    <xf numFmtId="0" fontId="24" fillId="0" borderId="1" xfId="10" applyFont="1" applyBorder="1"/>
    <xf numFmtId="164" fontId="17" fillId="0" borderId="0" xfId="3" applyFont="1"/>
    <xf numFmtId="0" fontId="0" fillId="6" borderId="0" xfId="0" applyFill="1"/>
    <xf numFmtId="168" fontId="0" fillId="0" borderId="0" xfId="0" applyNumberFormat="1"/>
    <xf numFmtId="0" fontId="0" fillId="2" borderId="0" xfId="0" applyFill="1"/>
    <xf numFmtId="169" fontId="0" fillId="0" borderId="0" xfId="0" applyNumberFormat="1"/>
    <xf numFmtId="0" fontId="25" fillId="0" borderId="0" xfId="0" applyFont="1"/>
    <xf numFmtId="0" fontId="15" fillId="2" borderId="0" xfId="0" applyFont="1" applyFill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horizontal="left" vertical="center"/>
    </xf>
    <xf numFmtId="0" fontId="28" fillId="0" borderId="5" xfId="0" applyFont="1" applyBorder="1" applyAlignment="1">
      <alignment horizontal="justify" vertical="center"/>
    </xf>
    <xf numFmtId="164" fontId="28" fillId="0" borderId="5" xfId="3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167" fontId="28" fillId="0" borderId="5" xfId="3" applyNumberFormat="1" applyFont="1" applyFill="1" applyBorder="1" applyAlignment="1">
      <alignment vertical="center"/>
    </xf>
    <xf numFmtId="0" fontId="28" fillId="0" borderId="6" xfId="10" applyFont="1" applyBorder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justify" vertical="center"/>
    </xf>
    <xf numFmtId="0" fontId="28" fillId="0" borderId="0" xfId="0" applyFont="1" applyAlignment="1">
      <alignment vertical="center"/>
    </xf>
    <xf numFmtId="164" fontId="28" fillId="0" borderId="0" xfId="3" applyFont="1" applyFill="1" applyBorder="1" applyAlignment="1">
      <alignment vertical="center"/>
    </xf>
    <xf numFmtId="0" fontId="0" fillId="0" borderId="0" xfId="0" applyAlignment="1">
      <alignment horizontal="right"/>
    </xf>
    <xf numFmtId="167" fontId="28" fillId="0" borderId="0" xfId="3" applyNumberFormat="1" applyFont="1" applyFill="1" applyBorder="1" applyAlignment="1">
      <alignment vertical="center"/>
    </xf>
    <xf numFmtId="0" fontId="28" fillId="0" borderId="0" xfId="10" applyFont="1"/>
    <xf numFmtId="0" fontId="19" fillId="0" borderId="2" xfId="0" applyFont="1" applyBorder="1"/>
    <xf numFmtId="169" fontId="0" fillId="0" borderId="0" xfId="0" pivotButton="1" applyNumberFormat="1"/>
    <xf numFmtId="169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3" applyNumberFormat="1" applyFont="1"/>
    <xf numFmtId="0" fontId="28" fillId="0" borderId="5" xfId="3" applyNumberFormat="1" applyFont="1" applyBorder="1" applyAlignment="1">
      <alignment horizontal="center" vertical="center"/>
    </xf>
    <xf numFmtId="0" fontId="28" fillId="0" borderId="0" xfId="3" applyNumberFormat="1" applyFont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68" fontId="25" fillId="0" borderId="0" xfId="0" applyNumberFormat="1" applyFont="1"/>
    <xf numFmtId="167" fontId="0" fillId="0" borderId="0" xfId="0" applyNumberFormat="1"/>
    <xf numFmtId="0" fontId="18" fillId="0" borderId="0" xfId="0" applyFont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vertical="center" wrapText="1"/>
    </xf>
    <xf numFmtId="0" fontId="13" fillId="4" borderId="4" xfId="0" applyFont="1" applyFill="1" applyBorder="1" applyAlignment="1">
      <alignment vertical="center" wrapText="1"/>
    </xf>
    <xf numFmtId="0" fontId="12" fillId="4" borderId="4" xfId="0" applyFont="1" applyFill="1" applyBorder="1"/>
    <xf numFmtId="0" fontId="12" fillId="4" borderId="0" xfId="0" applyFont="1" applyFill="1"/>
    <xf numFmtId="11" fontId="0" fillId="0" borderId="0" xfId="0" applyNumberFormat="1"/>
    <xf numFmtId="0" fontId="30" fillId="0" borderId="1" xfId="0" applyFont="1" applyBorder="1"/>
    <xf numFmtId="0" fontId="30" fillId="4" borderId="1" xfId="0" applyFont="1" applyFill="1" applyBorder="1"/>
    <xf numFmtId="0" fontId="31" fillId="0" borderId="1" xfId="0" applyFont="1" applyBorder="1"/>
    <xf numFmtId="0" fontId="31" fillId="4" borderId="1" xfId="0" quotePrefix="1" applyFont="1" applyFill="1" applyBorder="1"/>
    <xf numFmtId="0" fontId="31" fillId="4" borderId="1" xfId="0" applyFont="1" applyFill="1" applyBorder="1"/>
    <xf numFmtId="0" fontId="32" fillId="4" borderId="1" xfId="0" quotePrefix="1" applyFont="1" applyFill="1" applyBorder="1"/>
    <xf numFmtId="0" fontId="19" fillId="0" borderId="0" xfId="0" applyFont="1"/>
    <xf numFmtId="0" fontId="18" fillId="0" borderId="1" xfId="0" applyFont="1" applyBorder="1"/>
    <xf numFmtId="0" fontId="15" fillId="9" borderId="0" xfId="0" applyFont="1" applyFill="1"/>
    <xf numFmtId="0" fontId="0" fillId="9" borderId="0" xfId="0" applyFill="1"/>
    <xf numFmtId="0" fontId="15" fillId="0" borderId="1" xfId="11" applyFont="1" applyBorder="1"/>
    <xf numFmtId="0" fontId="9" fillId="0" borderId="0" xfId="11"/>
    <xf numFmtId="0" fontId="9" fillId="0" borderId="1" xfId="11" applyBorder="1"/>
    <xf numFmtId="170" fontId="0" fillId="0" borderId="1" xfId="12" applyNumberFormat="1" applyFont="1" applyBorder="1"/>
    <xf numFmtId="11" fontId="9" fillId="0" borderId="1" xfId="11" applyNumberFormat="1" applyBorder="1"/>
    <xf numFmtId="0" fontId="33" fillId="4" borderId="1" xfId="0" applyFont="1" applyFill="1" applyBorder="1" applyAlignment="1">
      <alignment vertical="center" wrapText="1"/>
    </xf>
    <xf numFmtId="49" fontId="33" fillId="4" borderId="1" xfId="0" applyNumberFormat="1" applyFont="1" applyFill="1" applyBorder="1" applyAlignment="1">
      <alignment vertical="center" wrapText="1"/>
    </xf>
    <xf numFmtId="0" fontId="33" fillId="4" borderId="3" xfId="0" applyFont="1" applyFill="1" applyBorder="1" applyAlignment="1">
      <alignment vertical="center" wrapText="1"/>
    </xf>
    <xf numFmtId="0" fontId="34" fillId="0" borderId="0" xfId="0" applyFont="1"/>
    <xf numFmtId="0" fontId="28" fillId="0" borderId="1" xfId="0" applyFont="1" applyBorder="1" applyAlignment="1">
      <alignment vertical="top" wrapText="1"/>
    </xf>
    <xf numFmtId="0" fontId="28" fillId="0" borderId="1" xfId="0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28" fillId="0" borderId="1" xfId="0" applyFont="1" applyBorder="1"/>
    <xf numFmtId="0" fontId="28" fillId="0" borderId="1" xfId="0" applyFont="1" applyBorder="1" applyAlignment="1">
      <alignment vertical="top"/>
    </xf>
    <xf numFmtId="0" fontId="34" fillId="0" borderId="1" xfId="0" applyFont="1" applyBorder="1" applyAlignment="1">
      <alignment vertical="top"/>
    </xf>
    <xf numFmtId="0" fontId="34" fillId="0" borderId="1" xfId="0" applyFont="1" applyBorder="1"/>
    <xf numFmtId="0" fontId="28" fillId="0" borderId="1" xfId="0" applyFont="1" applyBorder="1" applyAlignment="1">
      <alignment wrapText="1"/>
    </xf>
    <xf numFmtId="0" fontId="34" fillId="0" borderId="1" xfId="0" applyFont="1" applyBorder="1" applyAlignment="1">
      <alignment wrapText="1"/>
    </xf>
    <xf numFmtId="0" fontId="34" fillId="0" borderId="1" xfId="0" applyFont="1" applyBorder="1" applyAlignment="1">
      <alignment vertical="top" wrapText="1"/>
    </xf>
    <xf numFmtId="0" fontId="28" fillId="0" borderId="1" xfId="0" quotePrefix="1" applyFont="1" applyBorder="1" applyAlignment="1">
      <alignment vertical="top"/>
    </xf>
    <xf numFmtId="0" fontId="28" fillId="0" borderId="1" xfId="0" quotePrefix="1" applyFont="1" applyBorder="1" applyAlignment="1">
      <alignment vertical="top" wrapText="1"/>
    </xf>
    <xf numFmtId="0" fontId="35" fillId="0" borderId="1" xfId="0" applyFont="1" applyBorder="1" applyAlignment="1">
      <alignment vertical="top"/>
    </xf>
    <xf numFmtId="0" fontId="28" fillId="0" borderId="1" xfId="0" quotePrefix="1" applyFont="1" applyBorder="1" applyAlignment="1">
      <alignment wrapText="1"/>
    </xf>
    <xf numFmtId="0" fontId="36" fillId="0" borderId="1" xfId="0" applyFont="1" applyBorder="1" applyAlignment="1">
      <alignment vertical="top"/>
    </xf>
    <xf numFmtId="3" fontId="34" fillId="0" borderId="1" xfId="0" quotePrefix="1" applyNumberFormat="1" applyFont="1" applyBorder="1" applyAlignment="1">
      <alignment wrapText="1"/>
    </xf>
    <xf numFmtId="0" fontId="34" fillId="0" borderId="3" xfId="0" applyFont="1" applyBorder="1"/>
    <xf numFmtId="0" fontId="37" fillId="0" borderId="1" xfId="0" applyFont="1" applyBorder="1"/>
    <xf numFmtId="0" fontId="28" fillId="0" borderId="1" xfId="0" applyFont="1" applyBorder="1" applyAlignment="1">
      <alignment vertical="center" wrapText="1"/>
    </xf>
    <xf numFmtId="3" fontId="28" fillId="0" borderId="1" xfId="0" quotePrefix="1" applyNumberFormat="1" applyFont="1" applyBorder="1" applyAlignment="1">
      <alignment wrapText="1"/>
    </xf>
    <xf numFmtId="3" fontId="28" fillId="0" borderId="1" xfId="0" quotePrefix="1" applyNumberFormat="1" applyFont="1" applyBorder="1" applyAlignment="1">
      <alignment vertical="top"/>
    </xf>
    <xf numFmtId="3" fontId="28" fillId="0" borderId="1" xfId="0" quotePrefix="1" applyNumberFormat="1" applyFont="1" applyBorder="1" applyAlignment="1">
      <alignment vertical="top" wrapText="1"/>
    </xf>
    <xf numFmtId="14" fontId="34" fillId="0" borderId="0" xfId="0" applyNumberFormat="1" applyFont="1"/>
    <xf numFmtId="0" fontId="34" fillId="2" borderId="0" xfId="0" applyFont="1" applyFill="1"/>
    <xf numFmtId="0" fontId="34" fillId="2" borderId="1" xfId="0" applyFont="1" applyFill="1" applyBorder="1"/>
    <xf numFmtId="0" fontId="34" fillId="2" borderId="1" xfId="0" applyFont="1" applyFill="1" applyBorder="1" applyAlignment="1">
      <alignment vertical="top"/>
    </xf>
    <xf numFmtId="0" fontId="28" fillId="2" borderId="1" xfId="0" applyFont="1" applyFill="1" applyBorder="1" applyAlignment="1">
      <alignment vertical="top" wrapText="1"/>
    </xf>
    <xf numFmtId="0" fontId="34" fillId="2" borderId="1" xfId="0" quotePrefix="1" applyFont="1" applyFill="1" applyBorder="1" applyAlignment="1">
      <alignment vertical="top"/>
    </xf>
    <xf numFmtId="0" fontId="28" fillId="2" borderId="1" xfId="0" applyFont="1" applyFill="1" applyBorder="1" applyAlignment="1">
      <alignment vertical="top"/>
    </xf>
    <xf numFmtId="0" fontId="7" fillId="0" borderId="1" xfId="11" applyFont="1" applyBorder="1"/>
    <xf numFmtId="0" fontId="15" fillId="0" borderId="0" xfId="0" applyFont="1" applyAlignment="1">
      <alignment wrapText="1"/>
    </xf>
    <xf numFmtId="167" fontId="15" fillId="0" borderId="0" xfId="0" applyNumberFormat="1" applyFont="1"/>
    <xf numFmtId="0" fontId="15" fillId="9" borderId="0" xfId="1" applyFont="1" applyFill="1"/>
    <xf numFmtId="0" fontId="17" fillId="0" borderId="0" xfId="14"/>
    <xf numFmtId="0" fontId="18" fillId="4" borderId="1" xfId="1" applyFont="1" applyFill="1" applyBorder="1" applyAlignment="1">
      <alignment horizontal="left" wrapText="1"/>
    </xf>
    <xf numFmtId="0" fontId="19" fillId="2" borderId="1" xfId="1" applyFont="1" applyFill="1" applyBorder="1" applyAlignment="1">
      <alignment horizontal="left" wrapText="1"/>
    </xf>
    <xf numFmtId="0" fontId="19" fillId="6" borderId="1" xfId="1" applyFont="1" applyFill="1" applyBorder="1" applyAlignment="1">
      <alignment horizontal="left" wrapText="1"/>
    </xf>
    <xf numFmtId="0" fontId="20" fillId="6" borderId="1" xfId="1" applyFont="1" applyFill="1" applyBorder="1" applyAlignment="1">
      <alignment horizontal="left" wrapText="1"/>
    </xf>
    <xf numFmtId="0" fontId="21" fillId="2" borderId="1" xfId="14" applyFont="1" applyFill="1" applyBorder="1" applyAlignment="1">
      <alignment horizontal="left" vertical="center" wrapText="1"/>
    </xf>
    <xf numFmtId="0" fontId="21" fillId="6" borderId="1" xfId="14" applyFont="1" applyFill="1" applyBorder="1" applyAlignment="1">
      <alignment horizontal="left" vertical="center" wrapText="1"/>
    </xf>
    <xf numFmtId="0" fontId="20" fillId="2" borderId="1" xfId="1" applyFont="1" applyFill="1" applyBorder="1" applyAlignment="1">
      <alignment horizontal="left" wrapText="1"/>
    </xf>
    <xf numFmtId="0" fontId="21" fillId="6" borderId="1" xfId="1" applyFont="1" applyFill="1" applyBorder="1" applyAlignment="1">
      <alignment horizontal="left" wrapText="1"/>
    </xf>
    <xf numFmtId="0" fontId="11" fillId="0" borderId="0" xfId="1"/>
    <xf numFmtId="0" fontId="12" fillId="4" borderId="7" xfId="0" applyFont="1" applyFill="1" applyBorder="1"/>
    <xf numFmtId="0" fontId="29" fillId="0" borderId="0" xfId="14" applyFont="1" applyAlignment="1">
      <alignment horizontal="center" vertical="center" wrapText="1"/>
    </xf>
    <xf numFmtId="0" fontId="5" fillId="0" borderId="1" xfId="11" quotePrefix="1" applyFont="1" applyBorder="1"/>
    <xf numFmtId="0" fontId="28" fillId="0" borderId="0" xfId="3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left" vertical="top" wrapText="1"/>
    </xf>
    <xf numFmtId="0" fontId="40" fillId="0" borderId="1" xfId="4" applyFont="1" applyBorder="1" applyAlignment="1">
      <alignment horizontal="left" vertical="top" wrapText="1"/>
    </xf>
    <xf numFmtId="0" fontId="41" fillId="0" borderId="1" xfId="0" applyFont="1" applyBorder="1" applyAlignment="1">
      <alignment vertical="top" wrapText="1"/>
    </xf>
    <xf numFmtId="0" fontId="40" fillId="0" borderId="1" xfId="0" applyFont="1" applyBorder="1" applyAlignment="1">
      <alignment vertical="top" wrapText="1"/>
    </xf>
    <xf numFmtId="0" fontId="40" fillId="0" borderId="1" xfId="0" quotePrefix="1" applyFont="1" applyBorder="1" applyAlignment="1">
      <alignment vertical="top" wrapText="1"/>
    </xf>
    <xf numFmtId="0" fontId="40" fillId="0" borderId="1" xfId="4" applyFont="1" applyBorder="1" applyAlignment="1">
      <alignment vertical="top" wrapText="1"/>
    </xf>
    <xf numFmtId="0" fontId="40" fillId="0" borderId="1" xfId="0" applyFont="1" applyBorder="1" applyAlignment="1">
      <alignment horizontal="right" vertical="top" wrapText="1"/>
    </xf>
    <xf numFmtId="167" fontId="40" fillId="0" borderId="1" xfId="3" applyNumberFormat="1" applyFont="1" applyBorder="1" applyAlignment="1" applyProtection="1">
      <alignment horizontal="right" vertical="top" wrapText="1"/>
    </xf>
    <xf numFmtId="0" fontId="40" fillId="0" borderId="1" xfId="4" applyFont="1" applyBorder="1" applyAlignment="1">
      <alignment horizontal="right" vertical="top" wrapText="1"/>
    </xf>
    <xf numFmtId="0" fontId="40" fillId="0" borderId="8" xfId="0" applyFont="1" applyBorder="1" applyAlignment="1">
      <alignment horizontal="left" vertical="top" wrapText="1"/>
    </xf>
    <xf numFmtId="0" fontId="0" fillId="0" borderId="0" xfId="0" quotePrefix="1"/>
    <xf numFmtId="0" fontId="28" fillId="0" borderId="5" xfId="1" applyFont="1" applyBorder="1" applyAlignment="1">
      <alignment horizontal="left" vertical="center"/>
    </xf>
    <xf numFmtId="0" fontId="28" fillId="0" borderId="5" xfId="1" applyFont="1" applyBorder="1" applyAlignment="1">
      <alignment horizontal="center" vertical="center"/>
    </xf>
    <xf numFmtId="0" fontId="28" fillId="0" borderId="5" xfId="5" applyNumberFormat="1" applyFont="1" applyBorder="1" applyAlignment="1">
      <alignment horizontal="center" vertical="center"/>
    </xf>
    <xf numFmtId="0" fontId="28" fillId="0" borderId="5" xfId="1" applyFont="1" applyBorder="1" applyAlignment="1">
      <alignment horizontal="justify" vertical="center"/>
    </xf>
    <xf numFmtId="165" fontId="28" fillId="0" borderId="5" xfId="5" applyFont="1" applyFill="1" applyBorder="1" applyAlignment="1">
      <alignment vertical="center"/>
    </xf>
    <xf numFmtId="0" fontId="28" fillId="0" borderId="5" xfId="1" applyFont="1" applyBorder="1" applyAlignment="1">
      <alignment vertical="center"/>
    </xf>
    <xf numFmtId="167" fontId="28" fillId="0" borderId="5" xfId="5" applyNumberFormat="1" applyFont="1" applyFill="1" applyBorder="1" applyAlignment="1">
      <alignment vertical="center"/>
    </xf>
    <xf numFmtId="0" fontId="27" fillId="0" borderId="0" xfId="1" applyFont="1"/>
    <xf numFmtId="0" fontId="42" fillId="2" borderId="1" xfId="1" applyFont="1" applyFill="1" applyBorder="1" applyAlignment="1">
      <alignment horizontal="left" wrapText="1"/>
    </xf>
    <xf numFmtId="0" fontId="19" fillId="9" borderId="0" xfId="1" applyFont="1" applyFill="1" applyAlignment="1">
      <alignment horizontal="left"/>
    </xf>
    <xf numFmtId="0" fontId="39" fillId="9" borderId="0" xfId="1" applyFont="1" applyFill="1"/>
    <xf numFmtId="0" fontId="4" fillId="0" borderId="0" xfId="1" applyFont="1"/>
    <xf numFmtId="0" fontId="43" fillId="0" borderId="0" xfId="0" applyFont="1"/>
    <xf numFmtId="0" fontId="29" fillId="0" borderId="1" xfId="14" applyFont="1" applyBorder="1" applyAlignment="1">
      <alignment horizontal="center" vertical="center" wrapText="1"/>
    </xf>
    <xf numFmtId="0" fontId="3" fillId="0" borderId="1" xfId="1" applyFont="1" applyBorder="1"/>
    <xf numFmtId="0" fontId="3" fillId="0" borderId="1" xfId="0" applyFont="1" applyBorder="1"/>
    <xf numFmtId="167" fontId="3" fillId="0" borderId="1" xfId="3" applyNumberFormat="1" applyFont="1" applyFill="1" applyBorder="1"/>
    <xf numFmtId="167" fontId="3" fillId="0" borderId="1" xfId="3" applyNumberFormat="1" applyFont="1" applyBorder="1"/>
    <xf numFmtId="0" fontId="14" fillId="0" borderId="1" xfId="1" applyFont="1" applyBorder="1"/>
    <xf numFmtId="167" fontId="14" fillId="0" borderId="1" xfId="1" applyNumberFormat="1" applyFont="1" applyBorder="1"/>
    <xf numFmtId="1" fontId="28" fillId="0" borderId="0" xfId="3" applyNumberFormat="1" applyFont="1" applyBorder="1" applyAlignment="1">
      <alignment horizontal="center" vertical="center"/>
    </xf>
    <xf numFmtId="169" fontId="28" fillId="0" borderId="0" xfId="3" applyNumberFormat="1" applyFont="1" applyFill="1" applyBorder="1" applyAlignment="1">
      <alignment vertical="center"/>
    </xf>
    <xf numFmtId="169" fontId="28" fillId="0" borderId="0" xfId="0" applyNumberFormat="1" applyFont="1" applyAlignment="1">
      <alignment vertical="center"/>
    </xf>
    <xf numFmtId="0" fontId="3" fillId="0" borderId="1" xfId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" fillId="0" borderId="0" xfId="11" applyFont="1"/>
    <xf numFmtId="0" fontId="2" fillId="0" borderId="1" xfId="11" applyFont="1" applyBorder="1"/>
    <xf numFmtId="0" fontId="8" fillId="0" borderId="1" xfId="11" applyFont="1" applyBorder="1"/>
    <xf numFmtId="169" fontId="9" fillId="0" borderId="1" xfId="3" applyNumberFormat="1" applyFont="1" applyBorder="1"/>
    <xf numFmtId="169" fontId="9" fillId="0" borderId="0" xfId="3" applyNumberFormat="1" applyFont="1"/>
    <xf numFmtId="169" fontId="0" fillId="0" borderId="1" xfId="3" applyNumberFormat="1" applyFont="1" applyBorder="1"/>
    <xf numFmtId="11" fontId="2" fillId="0" borderId="1" xfId="11" applyNumberFormat="1" applyFont="1" applyBorder="1"/>
    <xf numFmtId="0" fontId="24" fillId="0" borderId="8" xfId="10" applyFont="1" applyBorder="1"/>
    <xf numFmtId="0" fontId="44" fillId="0" borderId="1" xfId="10" applyFont="1" applyBorder="1"/>
    <xf numFmtId="0" fontId="45" fillId="0" borderId="1" xfId="0" applyFont="1" applyBorder="1"/>
    <xf numFmtId="0" fontId="19" fillId="0" borderId="3" xfId="0" applyFont="1" applyBorder="1"/>
    <xf numFmtId="14" fontId="0" fillId="0" borderId="1" xfId="0" applyNumberFormat="1" applyBorder="1"/>
    <xf numFmtId="0" fontId="19" fillId="0" borderId="1" xfId="0" applyFont="1" applyBorder="1" applyAlignment="1">
      <alignment horizontal="left"/>
    </xf>
    <xf numFmtId="0" fontId="20" fillId="0" borderId="1" xfId="0" applyFont="1" applyBorder="1"/>
    <xf numFmtId="0" fontId="43" fillId="0" borderId="1" xfId="0" applyFont="1" applyBorder="1"/>
    <xf numFmtId="0" fontId="12" fillId="0" borderId="1" xfId="0" applyFont="1" applyBorder="1"/>
    <xf numFmtId="0" fontId="46" fillId="0" borderId="1" xfId="0" applyFont="1" applyBorder="1"/>
    <xf numFmtId="0" fontId="47" fillId="6" borderId="1" xfId="1" applyFont="1" applyFill="1" applyBorder="1" applyAlignment="1">
      <alignment horizontal="left" wrapText="1"/>
    </xf>
    <xf numFmtId="0" fontId="47" fillId="2" borderId="1" xfId="1" applyFont="1" applyFill="1" applyBorder="1" applyAlignment="1">
      <alignment horizontal="left" wrapText="1"/>
    </xf>
    <xf numFmtId="0" fontId="48" fillId="0" borderId="1" xfId="0" applyFont="1" applyBorder="1" applyAlignment="1">
      <alignment horizontal="left"/>
    </xf>
    <xf numFmtId="14" fontId="46" fillId="0" borderId="1" xfId="0" applyNumberFormat="1" applyFont="1" applyBorder="1"/>
    <xf numFmtId="0" fontId="48" fillId="6" borderId="1" xfId="1" applyFont="1" applyFill="1" applyBorder="1" applyAlignment="1">
      <alignment horizontal="left" wrapText="1"/>
    </xf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wrapText="1"/>
    </xf>
    <xf numFmtId="20" fontId="0" fillId="0" borderId="1" xfId="0" applyNumberFormat="1" applyBorder="1"/>
    <xf numFmtId="0" fontId="0" fillId="0" borderId="1" xfId="0" applyBorder="1" applyAlignment="1">
      <alignment horizontal="center" wrapText="1"/>
    </xf>
    <xf numFmtId="0" fontId="11" fillId="0" borderId="1" xfId="1" applyBorder="1"/>
    <xf numFmtId="167" fontId="0" fillId="0" borderId="1" xfId="0" applyNumberFormat="1" applyBorder="1"/>
    <xf numFmtId="14" fontId="19" fillId="0" borderId="1" xfId="0" applyNumberFormat="1" applyFont="1" applyBorder="1"/>
    <xf numFmtId="0" fontId="18" fillId="0" borderId="7" xfId="0" applyFont="1" applyBorder="1"/>
    <xf numFmtId="0" fontId="1" fillId="0" borderId="0" xfId="11" applyFont="1"/>
    <xf numFmtId="0" fontId="49" fillId="0" borderId="1" xfId="0" applyFont="1" applyBorder="1" applyAlignment="1">
      <alignment vertical="center"/>
    </xf>
    <xf numFmtId="0" fontId="49" fillId="0" borderId="1" xfId="0" applyFont="1" applyBorder="1" applyAlignment="1">
      <alignment vertical="center" wrapText="1"/>
    </xf>
    <xf numFmtId="0" fontId="50" fillId="0" borderId="1" xfId="0" applyFont="1" applyBorder="1" applyAlignment="1">
      <alignment vertical="center"/>
    </xf>
    <xf numFmtId="3" fontId="49" fillId="0" borderId="1" xfId="0" applyNumberFormat="1" applyFont="1" applyBorder="1" applyAlignment="1">
      <alignment horizontal="left" vertical="center" wrapText="1"/>
    </xf>
    <xf numFmtId="0" fontId="51" fillId="0" borderId="1" xfId="14" applyFont="1" applyBorder="1" applyAlignment="1">
      <alignment vertical="center" wrapText="1"/>
    </xf>
    <xf numFmtId="0" fontId="51" fillId="0" borderId="3" xfId="14" applyFont="1" applyBorder="1" applyAlignment="1">
      <alignment vertical="center" wrapText="1"/>
    </xf>
    <xf numFmtId="0" fontId="26" fillId="0" borderId="0" xfId="0" applyFont="1" applyFill="1"/>
    <xf numFmtId="0" fontId="0" fillId="0" borderId="0" xfId="0" applyFill="1"/>
    <xf numFmtId="0" fontId="38" fillId="0" borderId="0" xfId="0" applyFont="1" applyFill="1" applyAlignment="1">
      <alignment horizontal="center"/>
    </xf>
    <xf numFmtId="0" fontId="52" fillId="10" borderId="8" xfId="0" applyFont="1" applyFill="1" applyBorder="1" applyAlignment="1">
      <alignment horizontal="center" vertical="center"/>
    </xf>
    <xf numFmtId="0" fontId="52" fillId="10" borderId="9" xfId="0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vertical="center"/>
    </xf>
    <xf numFmtId="0" fontId="52" fillId="11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/>
    </xf>
    <xf numFmtId="0" fontId="15" fillId="0" borderId="1" xfId="0" applyFont="1" applyFill="1" applyBorder="1"/>
    <xf numFmtId="0" fontId="0" fillId="0" borderId="1" xfId="0" applyFill="1" applyBorder="1" applyAlignment="1">
      <alignment horizontal="center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20" fontId="0" fillId="0" borderId="1" xfId="0" applyNumberFormat="1" applyFill="1" applyBorder="1"/>
  </cellXfs>
  <cellStyles count="15">
    <cellStyle name="Bad 2" xfId="8" xr:uid="{00000000-0005-0000-0000-000000000000}"/>
    <cellStyle name="Comma" xfId="3" builtinId="3"/>
    <cellStyle name="Comma 2" xfId="5" xr:uid="{00000000-0005-0000-0000-000002000000}"/>
    <cellStyle name="Comma 3" xfId="7" xr:uid="{00000000-0005-0000-0000-000003000000}"/>
    <cellStyle name="Comma 4" xfId="12" xr:uid="{00000000-0005-0000-0000-000004000000}"/>
    <cellStyle name="Normal" xfId="0" builtinId="0"/>
    <cellStyle name="Normal 2" xfId="1" xr:uid="{00000000-0005-0000-0000-000006000000}"/>
    <cellStyle name="Normal 2 2" xfId="4" xr:uid="{00000000-0005-0000-0000-000007000000}"/>
    <cellStyle name="Normal 2 2 2" xfId="14" xr:uid="{00000000-0005-0000-0000-000008000000}"/>
    <cellStyle name="Normal 2 3" xfId="13" xr:uid="{00000000-0005-0000-0000-000009000000}"/>
    <cellStyle name="Normal 3" xfId="2" xr:uid="{00000000-0005-0000-0000-00000A000000}"/>
    <cellStyle name="Normal 4" xfId="10" xr:uid="{00000000-0005-0000-0000-00000B000000}"/>
    <cellStyle name="Normal 5" xfId="6" xr:uid="{00000000-0005-0000-0000-00000C000000}"/>
    <cellStyle name="Normal 6" xfId="9" xr:uid="{00000000-0005-0000-0000-00000D000000}"/>
    <cellStyle name="Normal 7" xfId="11" xr:uid="{00000000-0005-0000-0000-00000E000000}"/>
  </cellStyles>
  <dxfs count="78"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numFmt numFmtId="1" formatCode="0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67" formatCode="_(* #,##0_);_(* \(#,##0\);_(* &quot;-&quot;??_);_(@_)"/>
    </dxf>
    <dxf>
      <numFmt numFmtId="168" formatCode="0.000"/>
    </dxf>
    <dxf>
      <numFmt numFmtId="168" formatCode="0.000"/>
    </dxf>
    <dxf>
      <numFmt numFmtId="1" formatCode="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" formatCode="0"/>
    </dxf>
    <dxf>
      <numFmt numFmtId="168" formatCode="0.000"/>
    </dxf>
    <dxf>
      <numFmt numFmtId="168" formatCode="0.000"/>
    </dxf>
    <dxf>
      <numFmt numFmtId="1" formatCode="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" formatCode="0"/>
    </dxf>
    <dxf>
      <numFmt numFmtId="168" formatCode="0.000"/>
    </dxf>
    <dxf>
      <numFmt numFmtId="168" formatCode="0.000"/>
    </dxf>
    <dxf>
      <numFmt numFmtId="1" formatCode="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" formatCode="0"/>
    </dxf>
    <dxf>
      <numFmt numFmtId="168" formatCode="0.000"/>
    </dxf>
    <dxf>
      <numFmt numFmtId="168" formatCode="0.000"/>
    </dxf>
    <dxf>
      <numFmt numFmtId="1" formatCode="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" formatCode="0"/>
    </dxf>
    <dxf>
      <numFmt numFmtId="168" formatCode="0.000"/>
    </dxf>
    <dxf>
      <numFmt numFmtId="168" formatCode="0.000"/>
    </dxf>
    <dxf>
      <font>
        <i/>
      </font>
    </dxf>
    <dxf>
      <font>
        <i/>
      </font>
    </dxf>
    <dxf>
      <font>
        <i/>
      </font>
    </dxf>
    <dxf>
      <font>
        <b val="0"/>
      </font>
    </dxf>
    <dxf>
      <font>
        <i/>
      </font>
    </dxf>
    <dxf>
      <numFmt numFmtId="168" formatCode="0.000"/>
    </dxf>
    <dxf>
      <numFmt numFmtId="168" formatCode="0.000"/>
    </dxf>
    <dxf>
      <font>
        <i/>
      </font>
    </dxf>
    <dxf>
      <font>
        <i/>
      </font>
    </dxf>
    <dxf>
      <font>
        <i/>
      </font>
    </dxf>
    <dxf>
      <font>
        <b val="0"/>
      </font>
    </dxf>
    <dxf>
      <font>
        <i/>
      </font>
    </dxf>
    <dxf>
      <numFmt numFmtId="168" formatCode="0.000"/>
    </dxf>
    <dxf>
      <numFmt numFmtId="168" formatCode="0.000"/>
    </dxf>
    <dxf>
      <numFmt numFmtId="168" formatCode="0.000"/>
    </dxf>
    <dxf>
      <numFmt numFmtId="168" formatCode="0.000"/>
    </dxf>
    <dxf>
      <numFmt numFmtId="168" formatCode="0.000"/>
    </dxf>
    <dxf>
      <numFmt numFmtId="168" formatCode="0.000"/>
    </dxf>
    <dxf>
      <font>
        <i/>
      </font>
    </dxf>
    <dxf>
      <font>
        <i/>
      </font>
    </dxf>
    <dxf>
      <font>
        <i/>
      </font>
    </dxf>
    <dxf>
      <font>
        <b val="0"/>
      </font>
    </dxf>
    <dxf>
      <font>
        <i/>
      </font>
    </dxf>
    <dxf>
      <numFmt numFmtId="168" formatCode="0.000"/>
    </dxf>
    <dxf>
      <numFmt numFmtId="168" formatCode="0.000"/>
    </dxf>
    <dxf>
      <numFmt numFmtId="1" formatCode="0"/>
    </dxf>
    <dxf>
      <numFmt numFmtId="1" formatCode="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8" formatCode="0.000"/>
    </dxf>
    <dxf>
      <numFmt numFmtId="168" formatCode="0.000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  <dxf>
      <numFmt numFmtId="169" formatCode="_(* #,##0.000_);_(* \(#,##0.000\);_(* &quot;-&quot;??_);_(@_)"/>
    </dxf>
  </dxfs>
  <tableStyles count="0" defaultTableStyle="TableStyleMedium2" defaultPivotStyle="PivotStyleMedium9"/>
  <colors>
    <mruColors>
      <color rgb="FF1BF9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Van Doan" id="{4E1F2702-8614-4235-843B-2F1954EB2275}" userId="d24eac68f135284b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ptop" refreshedDate="45451.991705439817" createdVersion="8" refreshedVersion="8" minRefreshableVersion="3" recordCount="246" xr:uid="{00000000-000A-0000-FFFF-FFFF0A000000}">
  <cacheSource type="worksheet">
    <worksheetSource ref="A3:R278" sheet="ChiTietKP_DuToan"/>
  </cacheSource>
  <cacheFields count="18">
    <cacheField name="Khoan_chi" numFmtId="0">
      <sharedItems containsBlank="1" count="11">
        <s v="Thù lao tham gia NV"/>
        <m/>
        <s v="Chi khác" u="1"/>
        <s v="Máy móc, thiết bị nghiên cứu" u="1"/>
        <s v="Nguyên, vật liệu" u="1"/>
        <s v="Nguyên, vật liệu, năng lượng" u="1"/>
        <s v="Thù lao tham gia nhiệm vụ" u="1"/>
        <s v="Thuê chuyên gia" u="1"/>
        <s v="Thiết bị, máy móc" u="1"/>
        <s v="Xây dựng, sửa chữa nhỏ" u="1"/>
        <s v="Trả công lao động trực tiếp" u="1"/>
      </sharedItems>
    </cacheField>
    <cacheField name="Ky_hieu_ND_H1" numFmtId="0">
      <sharedItems containsString="0" containsBlank="1" containsNumber="1" containsInteger="1" minValue="1" maxValue="7" count="8">
        <n v="1"/>
        <m/>
        <n v="4" u="1"/>
        <n v="2" u="1"/>
        <n v="3" u="1"/>
        <n v="5" u="1"/>
        <n v="6" u="1"/>
        <n v="7" u="1"/>
      </sharedItems>
    </cacheField>
    <cacheField name="Noi_dung_H1" numFmtId="0">
      <sharedItems containsNonDate="0" containsString="0" containsBlank="1"/>
    </cacheField>
    <cacheField name="Ky_hieu_ND_H2" numFmtId="0">
      <sharedItems containsString="0" containsBlank="1" containsNumber="1" minValue="1" maxValue="11" count="13">
        <n v="1.1000000000000001"/>
        <m/>
        <n v="5.2" u="1"/>
        <n v="5.0999999999999996" u="1"/>
        <n v="1" u="1"/>
        <n v="1.2" u="1"/>
        <n v="4.0999999999999996" u="1"/>
        <n v="7.1" u="1"/>
        <n v="2.1" u="1"/>
        <n v="4" u="1"/>
        <n v="2" u="1"/>
        <n v="11" u="1"/>
        <n v="5.4" u="1"/>
      </sharedItems>
    </cacheField>
    <cacheField name="Cong_viec_H2" numFmtId="0">
      <sharedItems containsNonDate="0" containsBlank="1" count="11">
        <m/>
        <s v="Cong_viec_H2" u="1"/>
        <s v="Hàng hóa" u="1"/>
        <s v="1) Hội đồng xét duyệt TMĐT" u="1"/>
        <s v="2) Hội đồng thẩm định tài chính" u="1"/>
        <s v="3) Hội đồng thẩm định sản phẩm của hợp đồng thuê khoán chuyên môn (2 năm)" u="1"/>
        <s v="2) Công tác tại Chi nhánh Ven biển: Cài đặt hướng dẫn sử dụng thử nghiệm phần mềm tại Chi nhánh Ven biển" u="1"/>
        <s v="4) Công tác tại Chi nhánh Ven biển: Cài đặt, hướng dẫn sử dụng phần mềm cho cán bộ tại các đầu mối tại Chi nhánh Ven biển" u="1"/>
        <s v="1) Công tác tại Cơ sở chính: Cài đặt hướng dẫn sử dụng thử nghiệm phần mềm tại Cơ sở chính" u="1"/>
        <s v="3) Công tác tại Cơ sở chính: Cài đặt, hướng dẫn sử dụng phần mềm cho cán bộ tại các đầu mối tại Cơ sở chính" u="1"/>
        <s v="4) Hội đồng nghiệm thu ở cấp quản lý đề tài" u="1"/>
      </sharedItems>
    </cacheField>
    <cacheField name="Ky_hieu_ND_H3" numFmtId="0">
      <sharedItems containsBlank="1" containsMixedTypes="1" containsNumber="1" containsInteger="1" minValue="1" maxValue="3" count="5">
        <s v="1.1.1"/>
        <m/>
        <n v="1" u="1"/>
        <n v="2" u="1"/>
        <n v="3" u="1"/>
      </sharedItems>
    </cacheField>
    <cacheField name="Cong_viec_H3" numFmtId="0">
      <sharedItems containsNonDate="0" containsString="0" containsBlank="1" containsNumber="1" containsInteger="1" minValue="125000000" maxValue="125000000" count="2">
        <m/>
        <n v="125000000" u="1"/>
      </sharedItems>
    </cacheField>
    <cacheField name="Ky_hieu_ND_H4" numFmtId="0">
      <sharedItems containsBlank="1" containsMixedTypes="1" containsNumber="1" containsInteger="1" minValue="1" maxValue="5" count="7">
        <m/>
        <s v="2.1.2.1"/>
        <n v="1" u="1"/>
        <n v="2" u="1"/>
        <n v="3" u="1"/>
        <n v="4" u="1"/>
        <n v="5" u="1"/>
      </sharedItems>
    </cacheField>
    <cacheField name="Cong_viec_H4" numFmtId="0">
      <sharedItems containsNonDate="0" containsBlank="1" count="3">
        <m/>
        <s v="Cong_viec_H4" u="1"/>
        <s v="Chỉ định thầu trong nước không qua mạng" u="1"/>
      </sharedItems>
    </cacheField>
    <cacheField name="Nam" numFmtId="0">
      <sharedItems containsNonDate="0" containsString="0" containsBlank="1" containsNumber="1" containsInteger="1" minValue="2023" maxValue="2026" count="5">
        <m/>
        <n v="2024" u="1"/>
        <n v="2025" u="1"/>
        <n v="2026" u="1"/>
        <n v="2023" u="1"/>
      </sharedItems>
    </cacheField>
    <cacheField name="Ho_ten/Mat_hang" numFmtId="0">
      <sharedItems containsBlank="1" count="59">
        <s v="Đoàn Thanh Vân"/>
        <m/>
        <s v="Thư ký khoa học" u="1"/>
        <s v="Chủ tịch Hội đồng" u="1"/>
        <s v="Hoàng Thanh Long" u="1"/>
        <s v="Ho_ten/Mat_hang" u="1"/>
        <s v="Xăng xe" u="1"/>
        <s v="Khách sạn, nhà nghỉ" u="1"/>
        <s v="Vé máy bay" u="1"/>
        <s v="Vé tàu" u="1"/>
        <s v="Phản biện" u="1"/>
        <s v="Thư ký hành chính" u="1"/>
        <s v="Đại biểu tham dự" u="1"/>
        <s v="Thư ký Hội đồng" u="1"/>
        <s v="Ủy viên" u="1"/>
        <s v="Ổ cắm nối dài" u="1"/>
        <s v="Acetone" u="1"/>
        <s v="Máy tính nhúng Raspberry 4 model B" u="1"/>
        <s v="Ổ cứng di động SSD 1TB" u="1"/>
        <s v="Ram máy tính " u="1"/>
        <s v="Màn hình máy tính" u="1"/>
        <s v="Card đồ họa máy tính" u="1"/>
        <s v="Ngô Thị Vân" u="1"/>
        <s v="Trần Tiến Mạnh" u="1"/>
        <s v="Quý I/2024" u="1"/>
        <s v="Nguyễn Mạnh Hùng" u="1"/>
        <s v="Nguyễn Chí Cường" u="1"/>
        <s v="Đinh Thị Vân" u="1"/>
        <s v="Nguyễn Hữu Luyện" u="1"/>
        <s v="Nguyễn Thị Thu Xuân" u="1"/>
        <s v="Ngô Thanh Bình" u="1"/>
        <s v="Đỗ Tấn Tài" u="1"/>
        <s v="Nguyễn Thị Thanh Nga" u="1"/>
        <s v="Trần Xuân Tường" u="1"/>
        <s v="Vũ Văn Huy" u="1"/>
        <s v="Nguyễn Văn A" u="1"/>
        <s v="Đặng Văn Đông" u="1"/>
        <s v="Chủ trì" u="1"/>
        <s v="+ Chủ tịch hội đồng: 01 người x 1.500.000 đ/người " u="1"/>
        <s v="+ Chủ tịch hội đồng: 01 người x 600.000 đ/người " u="1"/>
        <s v="+ Nhận xét đánh giá của ủy viên hội đồng: 03 người x 500.000 đ/người" u="1"/>
        <s v="+ Nhận xét đánh giá của ủy viên phản biện: 02 người x 700.000 đ/người" u="1"/>
        <s v="+ Thành viên hội đồng: 03 người x 420.000 đ/người" u="1"/>
        <s v="+ Thành viên hội đồng: 04 người x 1.200.000 đ/người" u="1"/>
        <s v="+ Thành viên hội đồng: 04 người x 420.000 đ/người" u="1"/>
        <s v="- Công tác phí" u="1"/>
        <s v="- Vé tàu khứ hồi" u="1"/>
        <s v="+ Nhận xét đánh giá của ủy viên hội đồng: 05 người x 500.000 đ/người" u="1"/>
        <s v="+ Thành viên hội đồng: 06 người x 1.200.000 đ/người" u="1"/>
        <s v="Báo cáo viên (03 người x 2.000.000đ)" u="1"/>
        <s v="Chủ trì (01 người x 1.500.000đ)" u="1"/>
        <s v="Thành viên (45 người x 200.000đ)" u="1"/>
        <s v="Thư ký (01 người x 400.000đ)" u="1"/>
        <s v="Ổ cứng máy tính chuẩn PCIe Gen3 x4 NVMe" u="1"/>
        <s v="Router mạng" u="1"/>
        <s v="USB 3.2 64GB" u="1"/>
        <s v="Microsoft Windows 11 Pro 64-bit chính hãng" u="1"/>
        <s v="Giá đỡ màn hình" u="1"/>
        <s v="Latop Dell G15 5525 15,6 inch" u="1"/>
      </sharedItems>
    </cacheField>
    <cacheField name="Chuc_danh_NC/Don_vi_tinh" numFmtId="0">
      <sharedItems containsBlank="1" containsMixedTypes="1" containsNumber="1" containsInteger="1" minValue="1" maxValue="200000" count="11">
        <s v="- Thành viên chính"/>
        <s v="- Chủ nhiệm nhiệm vụ"/>
        <m/>
        <n v="200000" u="1"/>
        <n v="1" u="1"/>
        <n v="3" u="1"/>
        <n v="2" u="1"/>
        <n v="4" u="1"/>
        <n v="6" u="1"/>
        <n v="5" u="1"/>
        <n v="45" u="1"/>
      </sharedItems>
    </cacheField>
    <cacheField name="Hệ số tiền công theo ngày (Hstcn)/ Đơn giá hàng hóa" numFmtId="0">
      <sharedItems containsString="0" containsBlank="1" containsNumber="1" minValue="0.48" maxValue="6"/>
    </cacheField>
    <cacheField name="Định mức thù lao" numFmtId="0">
      <sharedItems containsString="0" containsBlank="1" containsNumber="1" containsInteger="1" minValue="30" maxValue="30"/>
    </cacheField>
    <cacheField name="Số ngày công quy đổi (Snc)4/ Số lượng hàng hóa" numFmtId="0">
      <sharedItems containsString="0" containsBlank="1" containsNumber="1" containsInteger="1" minValue="10" maxValue="10"/>
    </cacheField>
    <cacheField name="Số tháng quy đổi" numFmtId="0">
      <sharedItems containsString="0" containsBlank="1" containsNumber="1" minValue="0.45500000000000002" maxValue="0.45500000000000002"/>
    </cacheField>
    <cacheField name="Tong_kinh_phi" numFmtId="0">
      <sharedItems containsString="0" containsBlank="1" containsNumber="1" minValue="1.6379999999999999" maxValue="6.5519999999999996"/>
    </cacheField>
    <cacheField name="ID" numFmtId="0">
      <sharedItems containsString="0" containsBlank="1" containsNumber="1" containsInteger="1" minValue="2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ptop" refreshedDate="45456.011322800929" createdVersion="3" refreshedVersion="8" minRefreshableVersion="3" recordCount="240" xr:uid="{00000000-000A-0000-FFFF-FFFF0B000000}">
  <cacheSource type="worksheet">
    <worksheetSource ref="A3:R243" sheet="ChiTietKP_DuToan"/>
  </cacheSource>
  <cacheFields count="18">
    <cacheField name="Khoan_chi" numFmtId="0">
      <sharedItems containsBlank="1" count="11">
        <s v="Nguyên, vật liệu"/>
        <s v="Thù lao tham gia NV"/>
        <m/>
        <s v="Chi khác" u="1"/>
        <s v="Thuê chuyên gia" u="1"/>
        <s v="Máy móc, thiết bị nghiên cứu" u="1"/>
        <s v="Nguyên, vật liệu, năng lượng" u="1"/>
        <s v="Trả công lao động trực tiếp" u="1"/>
        <s v="Thù lao tham gia nhiệm vụ" u="1"/>
        <s v="Thiết bị, máy móc" u="1"/>
        <s v="Xây dựng, sửa chữa nhỏ" u="1"/>
      </sharedItems>
    </cacheField>
    <cacheField name="Ky_hieu_ND_H1" numFmtId="0">
      <sharedItems containsString="0" containsBlank="1" containsNumber="1" containsInteger="1" minValue="1" maxValue="1"/>
    </cacheField>
    <cacheField name="Noi_dung_H1" numFmtId="0">
      <sharedItems containsNonDate="0" containsString="0" containsBlank="1"/>
    </cacheField>
    <cacheField name="Ky_hieu_ND_H2" numFmtId="0">
      <sharedItems containsString="0" containsBlank="1" containsNumber="1" minValue="1.1000000000000001" maxValue="1.1000000000000001"/>
    </cacheField>
    <cacheField name="Cong_viec_H2" numFmtId="0">
      <sharedItems containsNonDate="0" containsString="0" containsBlank="1"/>
    </cacheField>
    <cacheField name="Ky_hieu_ND_H3" numFmtId="0">
      <sharedItems containsBlank="1"/>
    </cacheField>
    <cacheField name="Cong_viec_H3" numFmtId="0">
      <sharedItems containsNonDate="0" containsString="0" containsBlank="1"/>
    </cacheField>
    <cacheField name="Ky_hieu_ND_H4" numFmtId="0">
      <sharedItems containsBlank="1"/>
    </cacheField>
    <cacheField name="Cong_viec_H4" numFmtId="0">
      <sharedItems containsNonDate="0" containsString="0" containsBlank="1"/>
    </cacheField>
    <cacheField name="Nam" numFmtId="0">
      <sharedItems containsNonDate="0" containsString="0" containsBlank="1" containsNumber="1" containsInteger="1" minValue="2023" maxValue="2026" count="5">
        <m/>
        <n v="2024" u="1"/>
        <n v="2026" u="1"/>
        <n v="2023" u="1"/>
        <n v="2025" u="1"/>
      </sharedItems>
    </cacheField>
    <cacheField name="Ho_ten/Mat_hang" numFmtId="0">
      <sharedItems containsBlank="1"/>
    </cacheField>
    <cacheField name="Chuc_danh_NC/Don_vi_tinh" numFmtId="0">
      <sharedItems containsBlank="1"/>
    </cacheField>
    <cacheField name="Hệ số tiền công theo ngày (Hstcn)/ Đơn giá hàng hóa" numFmtId="0">
      <sharedItems containsString="0" containsBlank="1" containsNumber="1" minValue="0.48" maxValue="53000"/>
    </cacheField>
    <cacheField name="Định mức thù lao" numFmtId="0">
      <sharedItems containsString="0" containsBlank="1" containsNumber="1" containsInteger="1" minValue="30" maxValue="30"/>
    </cacheField>
    <cacheField name="Số ngày công quy đổi (Snc)4/ Số lượng hàng hóa" numFmtId="0">
      <sharedItems containsString="0" containsBlank="1" containsNumber="1" containsInteger="1" minValue="10" maxValue="100"/>
    </cacheField>
    <cacheField name="Số tháng quy đổi" numFmtId="0">
      <sharedItems containsString="0" containsBlank="1" containsNumber="1" minValue="0.45500000000000002" maxValue="0.45500000000000002"/>
    </cacheField>
    <cacheField name="Tong_kinh_phi" numFmtId="0">
      <sharedItems containsString="0" containsBlank="1" containsNumber="1" minValue="1.6379999999999999" maxValue="5300000"/>
    </cacheField>
    <cacheField name="ID" numFmtId="0">
      <sharedItems containsString="0" containsBlank="1" containsNumber="1" containsInteger="1" minValue="2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x v="0"/>
    <m/>
    <x v="0"/>
    <x v="0"/>
    <x v="0"/>
    <x v="0"/>
    <x v="0"/>
    <x v="0"/>
    <x v="0"/>
    <x v="0"/>
    <x v="0"/>
    <n v="0.48"/>
    <n v="30"/>
    <n v="10"/>
    <n v="0.45500000000000002"/>
    <n v="6.5519999999999996"/>
    <n v="3"/>
  </r>
  <r>
    <x v="0"/>
    <x v="0"/>
    <m/>
    <x v="0"/>
    <x v="0"/>
    <x v="0"/>
    <x v="0"/>
    <x v="1"/>
    <x v="0"/>
    <x v="0"/>
    <x v="0"/>
    <x v="1"/>
    <n v="6"/>
    <n v="30"/>
    <n v="10"/>
    <n v="0.45500000000000002"/>
    <n v="1.6379999999999999"/>
    <n v="2"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  <r>
    <x v="1"/>
    <x v="1"/>
    <m/>
    <x v="1"/>
    <x v="0"/>
    <x v="1"/>
    <x v="0"/>
    <x v="0"/>
    <x v="0"/>
    <x v="0"/>
    <x v="1"/>
    <x v="2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m/>
    <m/>
    <m/>
    <m/>
    <m/>
    <m/>
    <m/>
    <m/>
    <x v="0"/>
    <s v="Ổ cắm điện"/>
    <s v="cái"/>
    <n v="53000"/>
    <m/>
    <n v="100"/>
    <m/>
    <n v="5300000"/>
    <n v="4"/>
  </r>
  <r>
    <x v="1"/>
    <n v="1"/>
    <m/>
    <n v="1.1000000000000001"/>
    <m/>
    <s v="1.1.1"/>
    <m/>
    <m/>
    <m/>
    <x v="0"/>
    <s v="Đoàn Thanh Vân"/>
    <s v="- Thành viên chính"/>
    <n v="0.48"/>
    <n v="30"/>
    <n v="10"/>
    <n v="0.45500000000000002"/>
    <n v="6.5519999999999996"/>
    <n v="3"/>
  </r>
  <r>
    <x v="1"/>
    <n v="1"/>
    <m/>
    <n v="1.1000000000000001"/>
    <m/>
    <s v="1.1.1"/>
    <m/>
    <s v="2.1.2.1"/>
    <m/>
    <x v="0"/>
    <s v="Đoàn Thanh Vân"/>
    <s v="- Chủ nhiệm nhiệm vụ"/>
    <n v="6"/>
    <n v="30"/>
    <n v="10"/>
    <n v="0.45500000000000002"/>
    <n v="1.6379999999999999"/>
    <n v="2"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  <r>
    <x v="2"/>
    <m/>
    <m/>
    <m/>
    <m/>
    <m/>
    <m/>
    <m/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ptKP_Muc26" cacheId="1" applyNumberFormats="0" applyBorderFormats="0" applyFontFormats="0" applyPatternFormats="0" applyAlignmentFormats="0" applyWidthHeightFormats="1" dataCaption="Values" grandTotalCaption="Cộng:" updatedVersion="8" minRefreshableVersion="3" showCalcMbrs="0" useAutoFormatting="1" itemPrintTitles="1" createdVersion="3" indent="0" outline="1" outlineData="1" multipleFieldFilters="0" rowHeaderCaption="Năm">
  <location ref="A16:E19" firstHeaderRow="1" firstDataRow="2" firstDataCol="1"/>
  <pivotFields count="18">
    <pivotField axis="axisCol" showAll="0">
      <items count="12">
        <item m="1" x="8"/>
        <item m="1" x="6"/>
        <item m="1" x="9"/>
        <item m="1" x="10"/>
        <item m="1" x="3"/>
        <item m="1" x="7"/>
        <item x="2"/>
        <item m="1" x="4"/>
        <item m="1" x="5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m="1" x="3"/>
        <item m="1" x="1"/>
        <item m="1" x="4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9"/>
  </rowFields>
  <rowItems count="2">
    <i>
      <x v="4"/>
    </i>
    <i t="grand">
      <x/>
    </i>
  </rowItems>
  <colFields count="1">
    <field x="0"/>
  </colFields>
  <colItems count="4">
    <i>
      <x v="6"/>
    </i>
    <i>
      <x v="9"/>
    </i>
    <i>
      <x v="10"/>
    </i>
    <i t="grand">
      <x/>
    </i>
  </colItems>
  <dataFields count="1">
    <dataField name=" Tong_kinh_phi" fld="16" baseField="0" baseItem="0" numFmtId="169"/>
  </dataFields>
  <formats count="8"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0" type="button" dataOnly="0" labelOnly="1" outline="0" axis="axisCol" fieldPosition="0"/>
    </format>
    <format dxfId="66">
      <pivotArea dataOnly="0" labelOnly="1" fieldPosition="0">
        <references count="1">
          <reference field="0" count="0"/>
        </references>
      </pivotArea>
    </format>
    <format dxfId="65">
      <pivotArea dataOnly="0" labelOnly="1" grandRow="1" outline="0" fieldPosition="0"/>
    </format>
    <format dxfId="64">
      <pivotArea dataOnly="0" labelOnly="1" outline="0" axis="axisValues" fieldPosition="0"/>
    </format>
    <format dxfId="63">
      <pivotArea dataOnly="0" labelOnly="1" fieldPosition="0">
        <references count="1">
          <reference field="9" count="0"/>
        </references>
      </pivotArea>
    </format>
    <format dxfId="62">
      <pivotArea outline="0" collapsedLevelsAreSubtotals="1" fieldPosition="0">
        <references count="1">
          <reference field="0" count="2" selected="0">
            <x v="2"/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ptKP_BieuI4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N16:P20" firstHeaderRow="1" firstDataRow="2" firstDataCol="1"/>
  <pivotFields count="18">
    <pivotField axis="axisRow" showAll="0">
      <items count="12">
        <item m="1" x="6"/>
        <item m="1" x="7"/>
        <item m="1" x="5"/>
        <item m="1" x="8"/>
        <item m="1" x="9"/>
        <item m="1" x="2"/>
        <item m="1" x="10"/>
        <item x="1"/>
        <item m="1" x="3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3">
    <i>
      <x v="7"/>
    </i>
    <i>
      <x v="10"/>
    </i>
    <i t="grand">
      <x/>
    </i>
  </rowItems>
  <colFields count="1">
    <field x="9"/>
  </colFields>
  <colItems count="2">
    <i>
      <x v="4"/>
    </i>
    <i t="grand">
      <x/>
    </i>
  </colItems>
  <dataFields count="1">
    <dataField name="Sum of Tong_kinh_phi" fld="16" baseField="0" baseItem="1"/>
  </dataFields>
  <formats count="2">
    <format dxfId="71">
      <pivotArea outline="0" collapsedLevelsAreSubtotals="1" fieldPosition="0"/>
    </format>
    <format dxfId="70">
      <pivotArea grandRow="1"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tTongDuToan" cacheId="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5:B9" firstHeaderRow="1" firstDataRow="1" firstDataCol="1"/>
  <pivotFields count="18">
    <pivotField axis="axisRow" showAll="0">
      <items count="12">
        <item m="1" x="3"/>
        <item m="1" x="6"/>
        <item m="1" x="9"/>
        <item m="1" x="8"/>
        <item m="1" x="7"/>
        <item m="1" x="10"/>
        <item x="2"/>
        <item m="1" x="4"/>
        <item m="1" x="5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4">
    <i>
      <x v="6"/>
    </i>
    <i>
      <x v="9"/>
    </i>
    <i>
      <x v="10"/>
    </i>
    <i t="grand">
      <x/>
    </i>
  </rowItems>
  <colItems count="1">
    <i/>
  </colItems>
  <dataFields count="1">
    <dataField name=" Tong_kinh_phi" fld="16" baseField="0" baseItem="0" numFmtId="169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ptCLD_Muc12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AE5:AF6" firstHeaderRow="1" firstDataRow="1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axis="axisRow" showAll="0">
      <items count="9">
        <item x="0"/>
        <item m="1" x="3"/>
        <item m="1" x="5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sd="0" x="0"/>
        <item m="1" x="5"/>
        <item m="1" x="10"/>
        <item sd="0" m="1" x="9"/>
        <item m="1" x="12"/>
        <item sd="0" m="1" x="11"/>
        <item x="1"/>
        <item m="1" x="6"/>
        <item m="1" x="7"/>
        <item m="1" x="8"/>
        <item m="1" x="2"/>
        <item m="1" x="3"/>
        <item t="default" sd="0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sd="0" m="1" x="3"/>
        <item m="1" x="4"/>
        <item m="1" x="5"/>
        <item m="1" x="6"/>
        <item x="0"/>
        <item x="1"/>
        <item t="default"/>
      </items>
    </pivotField>
    <pivotField showAll="0"/>
    <pivotField showAll="0"/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h="1" x="1"/>
        <item h="1" m="1" x="8"/>
        <item h="1" m="1" x="32"/>
        <item h="1" m="1" x="34"/>
        <item h="1" m="1" x="27"/>
        <item h="1" m="1" x="33"/>
        <item h="1" m="1" x="31"/>
        <item h="1" m="1" x="30"/>
        <item h="1" m="1" x="25"/>
        <item h="1" m="1" x="35"/>
        <item h="1" m="1" x="6"/>
        <item h="1" m="1" x="9"/>
        <item h="1" m="1" x="7"/>
        <item h="1" m="1" x="24"/>
        <item h="1" m="1" x="12"/>
        <item h="1" m="1" x="14"/>
        <item h="1" m="1" x="16"/>
        <item h="1" m="1" x="22"/>
        <item h="1" m="1" x="11"/>
        <item h="1" m="1" x="2"/>
        <item h="1" m="1" x="5"/>
        <item t="default"/>
      </items>
    </pivotField>
    <pivotField axis="axisRow" showAll="0">
      <items count="12">
        <item m="1" x="4"/>
        <item m="1" x="6"/>
        <item m="1" x="5"/>
        <item m="1" x="7"/>
        <item m="1" x="9"/>
        <item m="1" x="8"/>
        <item m="1" x="10"/>
        <item x="2"/>
        <item m="1" x="3"/>
        <item x="0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6">
    <field x="10"/>
    <field x="11"/>
    <field x="1"/>
    <field x="3"/>
    <field x="5"/>
    <field x="7"/>
  </rowFields>
  <rowItems count="1">
    <i t="grand">
      <x/>
    </i>
  </rowItems>
  <colItems count="1">
    <i/>
  </colItems>
  <pageFields count="1">
    <pageField fld="0" item="6" hier="-1"/>
  </pageFields>
  <dataFields count="1">
    <dataField name=" Số tháng quy đổi" fld="15" baseField="11" baseItem="0"/>
  </dataFields>
  <formats count="9">
    <format dxfId="43">
      <pivotArea outline="0" collapsedLevelsAreSubtotals="1" fieldPosition="0"/>
    </format>
    <format dxfId="42">
      <pivotArea grandRow="1" outline="0" collapsedLevelsAreSubtotals="1" fieldPosition="0"/>
    </format>
    <format dxfId="41">
      <pivotArea dataOnly="0" fieldPosition="0">
        <references count="2">
          <reference field="0" count="1" selected="0">
            <x v="0"/>
          </reference>
          <reference field="3" count="6">
            <x v="0"/>
            <x v="1"/>
            <x v="2"/>
            <x v="3"/>
            <x v="6"/>
            <x v="7"/>
          </reference>
        </references>
      </pivotArea>
    </format>
    <format dxfId="40">
      <pivotArea dataOnly="0" fieldPosition="0">
        <references count="2">
          <reference field="0" count="1" selected="0">
            <x v="0"/>
          </reference>
          <reference field="7" count="1">
            <x v="1"/>
          </reference>
        </references>
      </pivotArea>
    </format>
    <format dxfId="39">
      <pivotArea dataOnly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38"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 dxfId="37">
      <pivotArea dataOnly="0" labelOnly="1" fieldPosition="0">
        <references count="2">
          <reference field="1" count="1" selected="0">
            <x v="0"/>
          </reference>
          <reference field="3" count="1">
            <x v="7"/>
          </reference>
        </references>
      </pivotArea>
    </format>
    <format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ptCLD_BieuI6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R5:T8" firstHeaderRow="1" firstDataRow="3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axis="axisRow" showAll="0">
      <items count="9">
        <item x="0"/>
        <item m="1" x="3"/>
        <item m="1" x="5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sd="0" x="0"/>
        <item sd="0" m="1" x="5"/>
        <item m="1" x="10"/>
        <item sd="0" m="1" x="9"/>
        <item m="1" x="12"/>
        <item sd="0" m="1" x="11"/>
        <item x="1"/>
        <item m="1" x="6"/>
        <item m="1" x="7"/>
        <item m="1" x="8"/>
        <item m="1" x="2"/>
        <item m="1" x="3"/>
        <item t="default" sd="0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sd="0" m="1" x="3"/>
        <item m="1" x="4"/>
        <item m="1" x="5"/>
        <item m="1" x="6"/>
        <item x="0"/>
        <item x="1"/>
        <item t="default"/>
      </items>
    </pivotField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sd="0" m="1" x="21"/>
        <item m="1" x="3"/>
        <item m="1" x="37"/>
        <item m="1" x="50"/>
        <item sd="0" m="1" x="36"/>
        <item sd="0" x="0"/>
        <item m="1" x="57"/>
        <item sd="0" m="1" x="4"/>
        <item m="1" x="58"/>
        <item sd="0" m="1" x="20"/>
        <item sd="0" m="1" x="17"/>
        <item m="1" x="56"/>
        <item sd="0" m="1" x="26"/>
        <item sd="0" m="1" x="28"/>
        <item sd="0" m="1" x="29"/>
        <item sd="0" m="1" x="15"/>
        <item sd="0" m="1" x="18"/>
        <item sd="0" m="1" x="53"/>
        <item m="1" x="10"/>
        <item sd="0" m="1" x="19"/>
        <item sd="0" m="1" x="54"/>
        <item m="1" x="51"/>
        <item m="1" x="52"/>
        <item m="1" x="13"/>
        <item sd="0" m="1" x="23"/>
        <item sd="0" m="1" x="55"/>
        <item h="1" sd="0" x="1"/>
        <item h="1" m="1" x="8"/>
        <item h="1" m="1" x="32"/>
        <item h="1" m="1" x="34"/>
        <item h="1" m="1" x="27"/>
        <item h="1" m="1" x="33"/>
        <item h="1" m="1" x="31"/>
        <item h="1" m="1" x="30"/>
        <item h="1" m="1" x="25"/>
        <item h="1" m="1" x="35"/>
        <item h="1" m="1" x="6"/>
        <item h="1" m="1" x="9"/>
        <item h="1" m="1" x="7"/>
        <item h="1" m="1" x="24"/>
        <item h="1" m="1" x="12"/>
        <item h="1" m="1" x="14"/>
        <item h="1" m="1" x="16"/>
        <item h="1" m="1" x="22"/>
        <item h="1" m="1" x="11"/>
        <item h="1" m="1" x="2"/>
        <item h="1" m="1" x="5"/>
        <item t="default"/>
      </items>
    </pivotField>
    <pivotField axis="axisRow" showAll="0">
      <items count="12">
        <item m="1" x="4"/>
        <item m="1" x="6"/>
        <item m="1" x="5"/>
        <item m="1" x="7"/>
        <item m="1" x="9"/>
        <item m="1" x="8"/>
        <item m="1" x="10"/>
        <item x="2"/>
        <item m="1" x="3"/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showAll="0"/>
  </pivotFields>
  <rowFields count="6">
    <field x="1"/>
    <field x="3"/>
    <field x="5"/>
    <field x="7"/>
    <field x="11"/>
    <field x="10"/>
  </rowFields>
  <rowItems count="1">
    <i t="grand">
      <x/>
    </i>
  </rowItems>
  <colFields count="2">
    <field x="-2"/>
    <field x="9"/>
  </colFields>
  <colItems count="2">
    <i t="grand">
      <x/>
    </i>
    <i t="grand" i="1">
      <x v="1"/>
    </i>
  </colItems>
  <pageFields count="1">
    <pageField fld="0" item="6" hier="-1"/>
  </pageFields>
  <dataFields count="2">
    <dataField name=" Số tháng quy đổi" fld="15" baseField="11" baseItem="0"/>
    <dataField name="Tổng kinh phí" fld="16" baseField="0" baseItem="1"/>
  </dataFields>
  <formats count="9">
    <format dxfId="50">
      <pivotArea outline="0" collapsedLevelsAreSubtotals="1" fieldPosition="0"/>
    </format>
    <format dxfId="49">
      <pivotArea grandRow="1" outline="0" collapsedLevelsAreSubtotals="1" fieldPosition="0"/>
    </format>
    <format dxfId="48">
      <pivotArea dataOnly="0" fieldPosition="0">
        <references count="2">
          <reference field="0" count="1" selected="0">
            <x v="0"/>
          </reference>
          <reference field="3" count="6">
            <x v="0"/>
            <x v="1"/>
            <x v="2"/>
            <x v="3"/>
            <x v="6"/>
            <x v="7"/>
          </reference>
        </references>
      </pivotArea>
    </format>
    <format dxfId="47">
      <pivotArea dataOnly="0" fieldPosition="0">
        <references count="2">
          <reference field="0" count="1" selected="0">
            <x v="0"/>
          </reference>
          <reference field="7" count="1">
            <x v="1"/>
          </reference>
        </references>
      </pivotArea>
    </format>
    <format dxfId="46">
      <pivotArea dataOnly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5"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 dxfId="44">
      <pivotArea dataOnly="0" labelOnly="1" fieldPosition="0">
        <references count="2">
          <reference field="1" count="1" selected="0">
            <x v="0"/>
          </reference>
          <reference field="3" count="1">
            <x v="7"/>
          </reference>
        </references>
      </pivotArea>
    </format>
    <format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ptCLD_TV" cacheId="0" dataPosition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E5:G8" firstHeaderRow="1" firstDataRow="3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h="1" x="1"/>
        <item h="1" m="1" x="8"/>
        <item h="1" m="1" x="32"/>
        <item h="1" m="1" x="34"/>
        <item h="1" m="1" x="27"/>
        <item h="1" m="1" x="33"/>
        <item h="1" m="1" x="31"/>
        <item h="1" m="1" x="30"/>
        <item h="1" m="1" x="25"/>
        <item h="1" m="1" x="35"/>
        <item h="1" m="1" x="6"/>
        <item h="1" m="1" x="9"/>
        <item h="1" m="1" x="7"/>
        <item h="1" m="1" x="24"/>
        <item h="1" m="1" x="12"/>
        <item h="1" m="1" x="14"/>
        <item h="1" m="1" x="16"/>
        <item h="1" m="1" x="22"/>
        <item h="1" m="1" x="11"/>
        <item h="1" m="1" x="2"/>
        <item h="1" m="1" x="5"/>
        <item t="default"/>
      </items>
    </pivotField>
    <pivotField axis="axisRow" showAll="0">
      <items count="12">
        <item m="1" x="4"/>
        <item m="1" x="6"/>
        <item m="1" x="5"/>
        <item m="1" x="7"/>
        <item m="1" x="9"/>
        <item m="1" x="8"/>
        <item m="1" x="10"/>
        <item x="2"/>
        <item m="1" x="3"/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showAll="0"/>
  </pivotFields>
  <rowFields count="2">
    <field x="10"/>
    <field x="11"/>
  </rowFields>
  <rowItems count="1">
    <i t="grand">
      <x/>
    </i>
  </rowItems>
  <colFields count="2">
    <field x="-2"/>
    <field x="9"/>
  </colFields>
  <colItems count="2">
    <i t="grand">
      <x/>
    </i>
    <i t="grand" i="1">
      <x v="1"/>
    </i>
  </colItems>
  <pageFields count="1">
    <pageField fld="0" item="6" hier="-1"/>
  </pageFields>
  <dataFields count="2">
    <dataField name=" Số tháng quy đổi" fld="15" baseField="11" baseItem="0"/>
    <dataField name="Tổng kinh phí" fld="16" baseField="0" baseItem="1"/>
  </dataFields>
  <formats count="2">
    <format dxfId="52">
      <pivotArea outline="0" collapsedLevelsAreSubtotals="1" fieldPosition="0"/>
    </format>
    <format dxfId="51">
      <pivotArea grandRow="1"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ptCLD_BieuI5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A5:C7" firstHeaderRow="0" firstDataRow="1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m="1" x="4"/>
        <item m="1" x="6"/>
        <item m="1" x="5"/>
        <item m="1" x="7"/>
        <item m="1" x="9"/>
        <item m="1" x="8"/>
        <item m="1" x="10"/>
        <item x="2"/>
        <item m="1" x="3"/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showAll="0"/>
  </pivotFields>
  <rowFields count="1">
    <field x="11"/>
  </rowFields>
  <rowItems count="2"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 of Số tháng quy đổi" fld="15" baseField="11" baseItem="0"/>
    <dataField name="Sum of Tong_kinh_phi" fld="16" baseField="0" baseItem="1"/>
  </dataFields>
  <formats count="2">
    <format dxfId="54">
      <pivotArea outline="0" collapsedLevelsAreSubtotals="1" fieldPosition="0"/>
    </format>
    <format dxfId="53">
      <pivotArea grandRow="1"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ptCLD_Muc21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AK5:AL10" firstHeaderRow="1" firstDataRow="1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axis="axisRow" showAll="0">
      <items count="9">
        <item x="0"/>
        <item m="1" x="3"/>
        <item m="1" x="5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sd="0" x="0"/>
        <item m="1" x="5"/>
        <item m="1" x="10"/>
        <item sd="0" m="1" x="9"/>
        <item m="1" x="12"/>
        <item sd="0" m="1" x="11"/>
        <item x="1"/>
        <item m="1" x="6"/>
        <item m="1" x="7"/>
        <item m="1" x="8"/>
        <item m="1" x="2"/>
        <item m="1" x="3"/>
        <item t="default" sd="0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sd="0" m="1" x="3"/>
        <item m="1" x="4"/>
        <item m="1" x="5"/>
        <item m="1" x="6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4">
    <field x="1"/>
    <field x="3"/>
    <field x="5"/>
    <field x="7"/>
  </rowFields>
  <rowItems count="5">
    <i>
      <x v="3"/>
    </i>
    <i r="1">
      <x v="7"/>
    </i>
    <i r="2">
      <x v="3"/>
    </i>
    <i r="3">
      <x v="5"/>
    </i>
    <i t="grand">
      <x/>
    </i>
  </rowItems>
  <colItems count="1">
    <i/>
  </colItems>
  <pageFields count="1">
    <pageField fld="0" item="6" hier="-1"/>
  </pageFields>
  <dataFields count="1">
    <dataField name="Sum of Tong_kinh_phi" fld="16" baseField="3" baseItem="1"/>
  </dataFields>
  <formats count="9">
    <format dxfId="61">
      <pivotArea outline="0" collapsedLevelsAreSubtotals="1" fieldPosition="0"/>
    </format>
    <format dxfId="60">
      <pivotArea grandRow="1" outline="0" collapsedLevelsAreSubtotals="1" fieldPosition="0"/>
    </format>
    <format dxfId="59">
      <pivotArea dataOnly="0" fieldPosition="0">
        <references count="2">
          <reference field="0" count="1" selected="0">
            <x v="0"/>
          </reference>
          <reference field="3" count="6">
            <x v="0"/>
            <x v="1"/>
            <x v="2"/>
            <x v="3"/>
            <x v="6"/>
            <x v="7"/>
          </reference>
        </references>
      </pivotArea>
    </format>
    <format dxfId="58">
      <pivotArea dataOnly="0" fieldPosition="0">
        <references count="2">
          <reference field="0" count="1" selected="0">
            <x v="0"/>
          </reference>
          <reference field="7" count="1">
            <x v="1"/>
          </reference>
        </references>
      </pivotArea>
    </format>
    <format dxfId="57">
      <pivotArea dataOnly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56"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>
      <pivotArea dataOnly="0" labelOnly="1" fieldPosition="0">
        <references count="4">
          <reference field="1" count="1" selected="0">
            <x v="0"/>
          </reference>
          <reference field="3" count="1" selected="0">
            <x v="0"/>
          </reference>
          <reference field="5" count="1" selected="0">
            <x v="0"/>
          </reference>
          <reference field="7" count="1">
            <x v="1"/>
          </reference>
        </references>
      </pivotArea>
    </format>
    <format dxfId="55">
      <pivotArea dataOnly="0" labelOnly="1" fieldPosition="0">
        <references count="2">
          <reference field="1" count="1" selected="0">
            <x v="0"/>
          </reference>
          <reference field="3" count="1">
            <x v="7"/>
          </reference>
        </references>
      </pivotArea>
    </format>
    <format>
      <pivotArea dataOnly="0" labelOnly="1" fieldPosition="0">
        <references count="2">
          <reference field="1" count="1" selected="0">
            <x v="0"/>
          </reference>
          <reference field="3" count="1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A000000}" name="ptNVL_I7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>
  <location ref="A4:G8" firstHeaderRow="1" firstDataRow="3" firstDataCol="1" rowPageCount="1" colPageCount="1"/>
  <pivotFields count="18">
    <pivotField axis="axisPage" showAll="0">
      <items count="12">
        <item m="1" x="2"/>
        <item m="1" x="5"/>
        <item m="1" x="8"/>
        <item m="1" x="6"/>
        <item m="1" x="10"/>
        <item m="1" x="9"/>
        <item x="1"/>
        <item m="1" x="7"/>
        <item m="1" x="3"/>
        <item m="1" x="4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x="1"/>
        <item m="1" x="8"/>
        <item m="1" x="32"/>
        <item m="1" x="34"/>
        <item m="1" x="27"/>
        <item m="1" x="33"/>
        <item m="1" x="31"/>
        <item m="1" x="30"/>
        <item m="1" x="25"/>
        <item m="1" x="35"/>
        <item m="1" x="6"/>
        <item m="1" x="9"/>
        <item m="1" x="7"/>
        <item m="1" x="24"/>
        <item m="1" x="12"/>
        <item m="1" x="14"/>
        <item m="1" x="16"/>
        <item m="1" x="22"/>
        <item m="1" x="11"/>
        <item m="1" x="2"/>
        <item m="1" x="5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1">
    <field x="10"/>
  </rowFields>
  <rowItems count="2">
    <i>
      <x v="38"/>
    </i>
    <i t="grand">
      <x/>
    </i>
  </rowItems>
  <colFields count="2">
    <field x="-2"/>
    <field x="9"/>
  </colFields>
  <colItems count="6">
    <i>
      <x/>
      <x v="4"/>
    </i>
    <i i="1">
      <x v="1"/>
      <x v="4"/>
    </i>
    <i i="2">
      <x v="2"/>
      <x v="4"/>
    </i>
    <i t="grand">
      <x/>
    </i>
    <i t="grand" i="1">
      <x/>
    </i>
    <i t="grand" i="2">
      <x/>
    </i>
  </colItems>
  <pageFields count="1">
    <pageField fld="0" item="6" hier="-1"/>
  </pageFields>
  <dataFields count="3">
    <dataField name="Số lượng" fld="14" baseField="0" baseItem="0" numFmtId="1"/>
    <dataField name="Max Đơn giá" fld="12" subtotal="max" baseField="10" baseItem="22"/>
    <dataField name="Thành tiền (triệu đ)" fld="16" baseField="10" baseItem="29"/>
  </dataFields>
  <formats count="6">
    <format dxfId="24">
      <pivotArea outline="0" collapsedLevelsAreSubtotals="1" fieldPosition="0"/>
    </format>
    <format dxfId="23">
      <pivotArea grandRow="1" outline="0" collapsedLevelsAreSubtotals="1" fieldPosition="0"/>
    </format>
    <format dxfId="2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">
      <pivotArea outline="0" collapsedLevelsAreSubtotals="1" fieldPosition="0">
        <references count="2">
          <reference field="4294967294" count="1" selected="0">
            <x v="2"/>
          </reference>
          <reference field="9" count="4" selected="0">
            <x v="0"/>
            <x v="1"/>
            <x v="2"/>
            <x v="3"/>
          </reference>
        </references>
      </pivotArea>
    </format>
    <format dxfId="20">
      <pivotArea field="9" grandCol="1" outline="0" collapsedLevelsAreSubtotals="1" axis="axisCol" fieldPosition="1">
        <references count="1">
          <reference field="4294967294" count="1" selected="0">
            <x v="2"/>
          </reference>
        </references>
      </pivotArea>
    </format>
    <format dxfId="19">
      <pivotArea outline="0" collapsedLevelsAreSubtotals="1" fieldPosition="0">
        <references count="2">
          <reference field="4294967294" count="1" selected="0">
            <x v="0"/>
          </reference>
          <reference field="9" count="4" selected="0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9000000}" name="ptTTB_I8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>
  <location ref="AO4:AU12" firstHeaderRow="1" firstDataRow="3" firstDataCol="1" rowPageCount="1" colPageCount="1"/>
  <pivotFields count="18">
    <pivotField axis="axisPage" showAll="0">
      <items count="12">
        <item m="1" x="2"/>
        <item m="1" x="5"/>
        <item m="1" x="8"/>
        <item m="1" x="6"/>
        <item m="1" x="10"/>
        <item m="1" x="9"/>
        <item x="1"/>
        <item m="1" x="7"/>
        <item m="1" x="3"/>
        <item m="1" x="4"/>
        <item x="0"/>
        <item t="default"/>
      </items>
    </pivotField>
    <pivotField axis="axisRow" showAll="0">
      <items count="9">
        <item m="1" x="5"/>
        <item x="0"/>
        <item m="1" x="3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x="0"/>
        <item m="1" x="5"/>
        <item m="1" x="10"/>
        <item m="1" x="9"/>
        <item m="1" x="12"/>
        <item m="1" x="11"/>
        <item x="1"/>
        <item m="1" x="6"/>
        <item m="1" x="7"/>
        <item m="1" x="8"/>
        <item m="1" x="2"/>
        <item m="1" x="3"/>
        <item t="default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m="1" x="3"/>
        <item m="1" x="4"/>
        <item m="1" x="5"/>
        <item m="1" x="6"/>
        <item x="0"/>
        <item x="1"/>
        <item t="default"/>
      </items>
    </pivotField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x="1"/>
        <item m="1" x="8"/>
        <item m="1" x="32"/>
        <item m="1" x="34"/>
        <item m="1" x="27"/>
        <item m="1" x="33"/>
        <item m="1" x="31"/>
        <item m="1" x="30"/>
        <item m="1" x="25"/>
        <item m="1" x="35"/>
        <item m="1" x="6"/>
        <item m="1" x="9"/>
        <item m="1" x="7"/>
        <item m="1" x="24"/>
        <item m="1" x="12"/>
        <item m="1" x="14"/>
        <item m="1" x="16"/>
        <item m="1" x="22"/>
        <item m="1" x="11"/>
        <item m="1" x="2"/>
        <item m="1" x="5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5">
    <field x="1"/>
    <field x="3"/>
    <field x="5"/>
    <field x="7"/>
    <field x="10"/>
  </rowFields>
  <rowItems count="6">
    <i>
      <x v="3"/>
    </i>
    <i r="1">
      <x v="7"/>
    </i>
    <i r="2">
      <x v="3"/>
    </i>
    <i r="3">
      <x v="5"/>
    </i>
    <i r="4">
      <x v="38"/>
    </i>
    <i t="grand">
      <x/>
    </i>
  </rowItems>
  <colFields count="2">
    <field x="-2"/>
    <field x="9"/>
  </colFields>
  <colItems count="6">
    <i>
      <x/>
      <x v="4"/>
    </i>
    <i i="1">
      <x v="1"/>
      <x v="4"/>
    </i>
    <i i="2">
      <x v="2"/>
      <x v="4"/>
    </i>
    <i t="grand">
      <x/>
    </i>
    <i t="grand" i="1">
      <x/>
    </i>
    <i t="grand" i="2">
      <x/>
    </i>
  </colItems>
  <pageFields count="1">
    <pageField fld="0" item="6" hier="-1"/>
  </pageFields>
  <dataFields count="3">
    <dataField name="Số lượng" fld="14" baseField="0" baseItem="0" numFmtId="1"/>
    <dataField name="Đơn giá (triệu đ)" fld="12" subtotal="average" baseField="1" baseItem="4"/>
    <dataField name="Thành tiền (triệu đ)" fld="16" baseField="10" baseItem="29"/>
  </dataFields>
  <formats count="6">
    <format dxfId="30">
      <pivotArea outline="0" collapsedLevelsAreSubtotals="1" fieldPosition="0"/>
    </format>
    <format dxfId="29">
      <pivotArea grandRow="1"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2">
          <reference field="4294967294" count="1" selected="0">
            <x v="2"/>
          </reference>
          <reference field="9" count="4" selected="0">
            <x v="0"/>
            <x v="1"/>
            <x v="2"/>
            <x v="3"/>
          </reference>
        </references>
      </pivotArea>
    </format>
    <format dxfId="26">
      <pivotArea field="9" grandCol="1" outline="0" collapsedLevelsAreSubtotals="1" axis="axisCol" fieldPosition="1">
        <references count="1">
          <reference field="4294967294" count="1" selected="0">
            <x v="2"/>
          </reference>
        </references>
      </pivotArea>
    </format>
    <format dxfId="25">
      <pivotArea outline="0" collapsedLevelsAreSubtotals="1" fieldPosition="0">
        <references count="2">
          <reference field="4294967294" count="1" selected="0">
            <x v="0"/>
          </reference>
          <reference field="9" count="4" selected="0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8000000}" name="ptNVL_I7_ND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>
  <location ref="U4:AA12" firstHeaderRow="1" firstDataRow="3" firstDataCol="1" rowPageCount="1" colPageCount="1"/>
  <pivotFields count="18">
    <pivotField axis="axisPage" showAll="0">
      <items count="12">
        <item m="1" x="2"/>
        <item m="1" x="5"/>
        <item m="1" x="8"/>
        <item m="1" x="6"/>
        <item m="1" x="10"/>
        <item m="1" x="9"/>
        <item x="1"/>
        <item m="1" x="7"/>
        <item m="1" x="3"/>
        <item m="1" x="4"/>
        <item x="0"/>
        <item t="default"/>
      </items>
    </pivotField>
    <pivotField axis="axisRow" showAll="0">
      <items count="9">
        <item m="1" x="5"/>
        <item x="0"/>
        <item m="1" x="3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x="0"/>
        <item m="1" x="5"/>
        <item m="1" x="10"/>
        <item m="1" x="9"/>
        <item m="1" x="12"/>
        <item m="1" x="11"/>
        <item x="1"/>
        <item m="1" x="6"/>
        <item m="1" x="7"/>
        <item m="1" x="8"/>
        <item m="1" x="2"/>
        <item m="1" x="3"/>
        <item t="default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m="1" x="3"/>
        <item m="1" x="4"/>
        <item m="1" x="5"/>
        <item m="1" x="6"/>
        <item x="0"/>
        <item x="1"/>
        <item t="default"/>
      </items>
    </pivotField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x="1"/>
        <item m="1" x="8"/>
        <item m="1" x="32"/>
        <item m="1" x="34"/>
        <item m="1" x="27"/>
        <item m="1" x="33"/>
        <item m="1" x="31"/>
        <item m="1" x="30"/>
        <item m="1" x="25"/>
        <item m="1" x="35"/>
        <item m="1" x="6"/>
        <item m="1" x="9"/>
        <item m="1" x="7"/>
        <item m="1" x="24"/>
        <item m="1" x="12"/>
        <item m="1" x="14"/>
        <item m="1" x="16"/>
        <item m="1" x="22"/>
        <item m="1" x="11"/>
        <item m="1" x="2"/>
        <item m="1" x="5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5">
    <field x="1"/>
    <field x="3"/>
    <field x="5"/>
    <field x="7"/>
    <field x="10"/>
  </rowFields>
  <rowItems count="6">
    <i>
      <x v="3"/>
    </i>
    <i r="1">
      <x v="7"/>
    </i>
    <i r="2">
      <x v="3"/>
    </i>
    <i r="3">
      <x v="5"/>
    </i>
    <i r="4">
      <x v="38"/>
    </i>
    <i t="grand">
      <x/>
    </i>
  </rowItems>
  <colFields count="2">
    <field x="-2"/>
    <field x="9"/>
  </colFields>
  <colItems count="6">
    <i>
      <x/>
      <x v="4"/>
    </i>
    <i i="1">
      <x v="1"/>
      <x v="4"/>
    </i>
    <i i="2">
      <x v="2"/>
      <x v="4"/>
    </i>
    <i t="grand">
      <x/>
    </i>
    <i t="grand" i="1">
      <x/>
    </i>
    <i t="grand" i="2">
      <x/>
    </i>
  </colItems>
  <pageFields count="1">
    <pageField fld="0" item="6" hier="-1"/>
  </pageFields>
  <dataFields count="3">
    <dataField name="Số lượng" fld="14" baseField="0" baseItem="0" numFmtId="1"/>
    <dataField name="Đơn giá (triệu đ)" fld="12" subtotal="average" baseField="1" baseItem="4"/>
    <dataField name="Thành tiền (triệu đ)" fld="16" baseField="10" baseItem="29"/>
  </dataFields>
  <formats count="6">
    <format dxfId="36">
      <pivotArea outline="0" collapsedLevelsAreSubtotals="1" fieldPosition="0"/>
    </format>
    <format dxfId="35">
      <pivotArea grandRow="1" outline="0" collapsedLevelsAreSubtotals="1" fieldPosition="0"/>
    </format>
    <format dxfId="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">
      <pivotArea outline="0" collapsedLevelsAreSubtotals="1" fieldPosition="0">
        <references count="2">
          <reference field="4294967294" count="1" selected="0">
            <x v="2"/>
          </reference>
          <reference field="9" count="4" selected="0">
            <x v="0"/>
            <x v="1"/>
            <x v="2"/>
            <x v="3"/>
          </reference>
        </references>
      </pivotArea>
    </format>
    <format dxfId="32">
      <pivotArea field="9" grandCol="1" outline="0" collapsedLevelsAreSubtotals="1" axis="axisCol" fieldPosition="1">
        <references count="1">
          <reference field="4294967294" count="1" selected="0">
            <x v="2"/>
          </reference>
        </references>
      </pivotArea>
    </format>
    <format dxfId="31">
      <pivotArea outline="0" collapsedLevelsAreSubtotals="1" fieldPosition="0">
        <references count="2">
          <reference field="4294967294" count="1" selected="0">
            <x v="0"/>
          </reference>
          <reference field="9" count="4" selected="0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B000000}" name="ptTTB_I8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>
  <location ref="A3:G11" firstHeaderRow="1" firstDataRow="3" firstDataCol="1" rowPageCount="1" colPageCount="1"/>
  <pivotFields count="18">
    <pivotField axis="axisPage" showAll="0">
      <items count="12">
        <item m="1" x="2"/>
        <item m="1" x="5"/>
        <item m="1" x="8"/>
        <item m="1" x="6"/>
        <item m="1" x="10"/>
        <item m="1" x="9"/>
        <item x="1"/>
        <item m="1" x="7"/>
        <item m="1" x="3"/>
        <item m="1" x="4"/>
        <item x="0"/>
        <item t="default"/>
      </items>
    </pivotField>
    <pivotField axis="axisRow" showAll="0">
      <items count="9">
        <item m="1" x="5"/>
        <item x="0"/>
        <item m="1" x="3"/>
        <item x="1"/>
        <item m="1" x="2"/>
        <item m="1" x="7"/>
        <item m="1" x="6"/>
        <item m="1" x="4"/>
        <item t="default"/>
      </items>
    </pivotField>
    <pivotField showAll="0"/>
    <pivotField axis="axisRow" showAll="0">
      <items count="14">
        <item m="1" x="4"/>
        <item x="0"/>
        <item m="1" x="5"/>
        <item m="1" x="10"/>
        <item m="1" x="9"/>
        <item m="1" x="12"/>
        <item m="1" x="11"/>
        <item x="1"/>
        <item m="1" x="6"/>
        <item m="1" x="7"/>
        <item m="1" x="8"/>
        <item m="1" x="2"/>
        <item m="1" x="3"/>
        <item t="default"/>
      </items>
    </pivotField>
    <pivotField showAll="0"/>
    <pivotField axis="axisRow" showAll="0">
      <items count="6">
        <item m="1" x="2"/>
        <item m="1" x="3"/>
        <item m="1" x="4"/>
        <item x="1"/>
        <item x="0"/>
        <item t="default"/>
      </items>
    </pivotField>
    <pivotField showAll="0"/>
    <pivotField axis="axisRow" showAll="0">
      <items count="8">
        <item m="1" x="2"/>
        <item m="1" x="3"/>
        <item m="1" x="4"/>
        <item m="1" x="5"/>
        <item m="1" x="6"/>
        <item x="0"/>
        <item x="1"/>
        <item t="default"/>
      </items>
    </pivotField>
    <pivotField showAll="0"/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x="1"/>
        <item m="1" x="8"/>
        <item m="1" x="32"/>
        <item m="1" x="34"/>
        <item m="1" x="27"/>
        <item m="1" x="33"/>
        <item m="1" x="31"/>
        <item m="1" x="30"/>
        <item m="1" x="25"/>
        <item m="1" x="35"/>
        <item m="1" x="6"/>
        <item m="1" x="9"/>
        <item m="1" x="7"/>
        <item m="1" x="24"/>
        <item m="1" x="12"/>
        <item m="1" x="14"/>
        <item m="1" x="16"/>
        <item m="1" x="22"/>
        <item m="1" x="11"/>
        <item m="1" x="2"/>
        <item m="1" x="5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5">
    <field x="1"/>
    <field x="3"/>
    <field x="5"/>
    <field x="7"/>
    <field x="10"/>
  </rowFields>
  <rowItems count="6">
    <i>
      <x v="3"/>
    </i>
    <i r="1">
      <x v="7"/>
    </i>
    <i r="2">
      <x v="3"/>
    </i>
    <i r="3">
      <x v="5"/>
    </i>
    <i r="4">
      <x v="38"/>
    </i>
    <i t="grand">
      <x/>
    </i>
  </rowItems>
  <colFields count="2">
    <field x="-2"/>
    <field x="9"/>
  </colFields>
  <colItems count="6">
    <i>
      <x/>
      <x v="4"/>
    </i>
    <i i="1">
      <x v="1"/>
      <x v="4"/>
    </i>
    <i i="2">
      <x v="2"/>
      <x v="4"/>
    </i>
    <i t="grand">
      <x/>
    </i>
    <i t="grand" i="1">
      <x/>
    </i>
    <i t="grand" i="2">
      <x/>
    </i>
  </colItems>
  <pageFields count="1">
    <pageField fld="0" item="6" hier="-1"/>
  </pageFields>
  <dataFields count="3">
    <dataField name="Số lượng" fld="14" baseField="0" baseItem="0" numFmtId="1"/>
    <dataField name="Đơn giá (triệu đ)" fld="12" subtotal="average" baseField="1" baseItem="4"/>
    <dataField name="Thành tiền (triệu đ)" fld="16" baseField="10" baseItem="29"/>
  </dataFields>
  <formats count="6">
    <format dxfId="18">
      <pivotArea outline="0" collapsedLevelsAreSubtotals="1" fieldPosition="0"/>
    </format>
    <format dxfId="17">
      <pivotArea grandRow="1" outline="0" collapsedLevelsAreSubtotals="1" fieldPosition="0"/>
    </format>
    <format dxfId="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">
      <pivotArea outline="0" collapsedLevelsAreSubtotals="1" fieldPosition="0">
        <references count="2">
          <reference field="4294967294" count="1" selected="0">
            <x v="2"/>
          </reference>
          <reference field="9" count="4" selected="0">
            <x v="0"/>
            <x v="1"/>
            <x v="2"/>
            <x v="3"/>
          </reference>
        </references>
      </pivotArea>
    </format>
    <format dxfId="14">
      <pivotArea field="9" grandCol="1" outline="0" collapsedLevelsAreSubtotals="1" axis="axisCol" fieldPosition="1">
        <references count="1">
          <reference field="4294967294" count="1" selected="0">
            <x v="2"/>
          </reference>
        </references>
      </pivotArea>
    </format>
    <format dxfId="13">
      <pivotArea outline="0" collapsedLevelsAreSubtotals="1" fieldPosition="0">
        <references count="2">
          <reference field="4294967294" count="1" selected="0">
            <x v="0"/>
          </reference>
          <reference field="9" count="4" selected="0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C000000}" name="ptCK_BieuI9" cacheId="0" applyNumberFormats="0" applyBorderFormats="0" applyFontFormats="0" applyPatternFormats="0" applyAlignmentFormats="0" applyWidthHeightFormats="1" dataCaption="Values" grandTotalCaption="Cộng:" updatedVersion="8" minRefreshableVersion="3" itemPrintTitles="1" createdVersion="8" indent="0" outline="1" outlineData="1" multipleFieldFilters="0" rowHeaderCaption="Nội dung các khoản chi">
  <location ref="A5:G13" firstHeaderRow="1" firstDataRow="3" firstDataCol="1" rowPageCount="1" colPageCount="1"/>
  <pivotFields count="18">
    <pivotField axis="axisPage" showAll="0">
      <items count="12">
        <item m="1" x="6"/>
        <item m="1" x="5"/>
        <item m="1" x="8"/>
        <item m="1" x="9"/>
        <item m="1" x="2"/>
        <item m="1" x="10"/>
        <item x="1"/>
        <item m="1" x="7"/>
        <item m="1" x="3"/>
        <item m="1" x="4"/>
        <item x="0"/>
        <item t="default"/>
      </items>
    </pivotField>
    <pivotField axis="axisRow" showAll="0">
      <items count="9">
        <item x="0"/>
        <item m="1" x="3"/>
        <item m="1" x="5"/>
        <item x="1"/>
        <item m="1" x="2"/>
        <item m="1" x="7"/>
        <item m="1" x="6"/>
        <item m="1" x="4"/>
        <item t="default"/>
      </items>
    </pivotField>
    <pivotField showAll="0"/>
    <pivotField showAll="0"/>
    <pivotField axis="axisRow" showAll="0">
      <items count="12">
        <item m="1" x="8"/>
        <item m="1" x="3"/>
        <item m="1" x="6"/>
        <item m="1" x="4"/>
        <item m="1" x="9"/>
        <item m="1" x="5"/>
        <item m="1" x="7"/>
        <item m="1" x="10"/>
        <item x="0"/>
        <item m="1" x="2"/>
        <item m="1" x="1"/>
        <item t="default"/>
      </items>
    </pivotField>
    <pivotField showAll="0"/>
    <pivotField axis="axisRow" showAll="0">
      <items count="3">
        <item x="0"/>
        <item m="1" x="1"/>
        <item t="default"/>
      </items>
    </pivotField>
    <pivotField showAll="0"/>
    <pivotField axis="axisRow" showAll="0">
      <items count="4">
        <item x="0"/>
        <item m="1" x="2"/>
        <item m="1" x="1"/>
        <item t="default"/>
      </items>
    </pivotField>
    <pivotField axis="axisCol" showAll="0">
      <items count="6">
        <item m="1" x="4"/>
        <item m="1" x="1"/>
        <item m="1" x="2"/>
        <item m="1" x="3"/>
        <item x="0"/>
        <item t="default"/>
      </items>
    </pivotField>
    <pivotField axis="axisRow" showAll="0">
      <items count="60">
        <item m="1" x="45"/>
        <item m="1" x="46"/>
        <item m="1" x="38"/>
        <item m="1" x="39"/>
        <item m="1" x="40"/>
        <item m="1" x="47"/>
        <item m="1" x="41"/>
        <item m="1" x="42"/>
        <item m="1" x="43"/>
        <item m="1" x="44"/>
        <item m="1" x="48"/>
        <item m="1" x="49"/>
        <item m="1" x="21"/>
        <item m="1" x="3"/>
        <item m="1" x="37"/>
        <item m="1" x="50"/>
        <item m="1" x="36"/>
        <item x="0"/>
        <item m="1" x="57"/>
        <item m="1" x="4"/>
        <item m="1" x="58"/>
        <item m="1" x="20"/>
        <item m="1" x="17"/>
        <item m="1" x="56"/>
        <item m="1" x="26"/>
        <item m="1" x="28"/>
        <item m="1" x="29"/>
        <item m="1" x="15"/>
        <item m="1" x="18"/>
        <item m="1" x="53"/>
        <item m="1" x="10"/>
        <item m="1" x="19"/>
        <item m="1" x="54"/>
        <item m="1" x="51"/>
        <item m="1" x="52"/>
        <item m="1" x="13"/>
        <item m="1" x="23"/>
        <item m="1" x="55"/>
        <item x="1"/>
        <item m="1" x="8"/>
        <item m="1" x="32"/>
        <item m="1" x="34"/>
        <item m="1" x="27"/>
        <item m="1" x="33"/>
        <item m="1" x="31"/>
        <item m="1" x="30"/>
        <item m="1" x="25"/>
        <item m="1" x="35"/>
        <item m="1" x="6"/>
        <item m="1" x="9"/>
        <item m="1" x="7"/>
        <item m="1" x="24"/>
        <item m="1" x="12"/>
        <item m="1" x="14"/>
        <item m="1" x="16"/>
        <item m="1" x="22"/>
        <item m="1" x="11"/>
        <item m="1" x="2"/>
        <item m="1" x="5"/>
        <item t="default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</pivotFields>
  <rowFields count="5">
    <field x="1"/>
    <field x="4"/>
    <field x="6"/>
    <field x="8"/>
    <field x="10"/>
  </rowFields>
  <rowItems count="6">
    <i>
      <x v="3"/>
    </i>
    <i r="1">
      <x v="8"/>
    </i>
    <i r="2">
      <x/>
    </i>
    <i r="3">
      <x/>
    </i>
    <i r="4">
      <x v="38"/>
    </i>
    <i t="grand">
      <x/>
    </i>
  </rowItems>
  <colFields count="2">
    <field x="-2"/>
    <field x="9"/>
  </colFields>
  <colItems count="6">
    <i>
      <x/>
      <x v="4"/>
    </i>
    <i i="1">
      <x v="1"/>
      <x v="4"/>
    </i>
    <i i="2">
      <x v="2"/>
      <x v="4"/>
    </i>
    <i t="grand">
      <x/>
    </i>
    <i t="grand" i="1">
      <x/>
    </i>
    <i t="grand" i="2">
      <x/>
    </i>
  </colItems>
  <pageFields count="1">
    <pageField fld="0" item="6" hier="-1"/>
  </pageFields>
  <dataFields count="3">
    <dataField name="Số lượng" fld="14" baseField="0" baseItem="0"/>
    <dataField name="Đơn giá" fld="12" subtotal="max" baseField="10" baseItem="13"/>
    <dataField name=" Tong_kinh_phi" fld="16" baseField="10" baseItem="39"/>
  </dataFields>
  <formats count="4">
    <format dxfId="12">
      <pivotArea outline="0" collapsedLevelsAreSubtotals="1" fieldPosition="0"/>
    </format>
    <format dxfId="11">
      <pivotArea grandRow="1" outline="0" collapsedLevelsAreSubtotals="1" fieldPosition="0"/>
    </format>
    <format dxfId="10">
      <pivotArea outline="0" collapsedLevelsAreSubtotals="1" fieldPosition="0">
        <references count="2">
          <reference field="4294967294" count="1" selected="0">
            <x v="0"/>
          </reference>
          <reference field="9" count="3" selected="0">
            <x v="0"/>
            <x v="1"/>
            <x v="4"/>
          </reference>
        </references>
      </pivotArea>
    </format>
    <format dxfId="9">
      <pivotArea field="9" grandCol="1" outline="0" collapsedLevelsAreSubtotals="1" axis="axisCol" fieldPosition="1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11" dT="2023-12-11T04:35:32.01" personId="{4E1F2702-8614-4235-843B-2F1954EB2275}" id="{3F170EF3-6187-41C6-AFD1-B28BEC1C6DE5}">
    <text>Nửa giá trị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enu">
    <tabColor rgb="FF7030A0"/>
    <pageSetUpPr fitToPage="1"/>
  </sheetPr>
  <dimension ref="A1:AH100"/>
  <sheetViews>
    <sheetView showGridLines="0" tabSelected="1" zoomScaleNormal="100" workbookViewId="0">
      <selection activeCell="C11" sqref="C11"/>
    </sheetView>
  </sheetViews>
  <sheetFormatPr defaultColWidth="0" defaultRowHeight="0" customHeight="1" zeroHeight="1" x14ac:dyDescent="0.2"/>
  <cols>
    <col min="1" max="1" width="8" bestFit="1" customWidth="1"/>
    <col min="2" max="2" width="32.5" customWidth="1"/>
    <col min="3" max="3" width="72.75" customWidth="1"/>
    <col min="4" max="4" width="15.5" customWidth="1"/>
    <col min="5" max="5" width="25.375" customWidth="1"/>
    <col min="6" max="6" width="23.625" customWidth="1"/>
    <col min="7" max="7" width="1.625" customWidth="1"/>
    <col min="8" max="8" width="28" customWidth="1"/>
    <col min="9" max="9" width="12.75" customWidth="1"/>
    <col min="10" max="10" width="15.125" hidden="1" customWidth="1"/>
    <col min="11" max="34" width="10.125" hidden="1" customWidth="1"/>
    <col min="35" max="16384" width="8.75" hidden="1"/>
  </cols>
  <sheetData>
    <row r="1" spans="1:9" s="202" customFormat="1" ht="27" customHeight="1" x14ac:dyDescent="0.2">
      <c r="A1" s="201"/>
      <c r="B1" s="204" t="s">
        <v>4056</v>
      </c>
      <c r="C1" s="205"/>
      <c r="D1" s="201"/>
      <c r="E1" s="201"/>
      <c r="F1" s="201"/>
      <c r="G1" s="201"/>
      <c r="H1" s="201"/>
      <c r="I1" s="201"/>
    </row>
    <row r="2" spans="1:9" s="202" customFormat="1" ht="18" customHeight="1" x14ac:dyDescent="0.2">
      <c r="A2"/>
      <c r="B2"/>
      <c r="C2"/>
      <c r="D2"/>
      <c r="E2"/>
      <c r="F2" s="201"/>
      <c r="G2" s="201"/>
      <c r="H2" s="201"/>
      <c r="I2" s="201"/>
    </row>
    <row r="3" spans="1:9" s="202" customFormat="1" ht="20.100000000000001" customHeight="1" x14ac:dyDescent="0.2">
      <c r="A3" s="201"/>
      <c r="B3" s="206" t="s">
        <v>4052</v>
      </c>
      <c r="C3" s="207">
        <v>2</v>
      </c>
      <c r="D3" s="201"/>
      <c r="E3" s="201"/>
      <c r="F3" s="201"/>
      <c r="G3" s="201"/>
      <c r="H3" s="201"/>
      <c r="I3" s="201"/>
    </row>
    <row r="4" spans="1:9" s="202" customFormat="1" ht="20.100000000000001" customHeight="1" x14ac:dyDescent="0.2">
      <c r="B4" s="206" t="s">
        <v>4053</v>
      </c>
      <c r="C4" s="206" t="s">
        <v>3771</v>
      </c>
      <c r="D4" s="201"/>
      <c r="E4" s="201"/>
      <c r="F4" s="201"/>
      <c r="G4" s="201"/>
      <c r="H4" s="201"/>
      <c r="I4" s="201"/>
    </row>
    <row r="5" spans="1:9" s="202" customFormat="1" ht="20.100000000000001" customHeight="1" x14ac:dyDescent="0.2">
      <c r="B5" s="206" t="s">
        <v>4054</v>
      </c>
      <c r="C5" s="206" t="s">
        <v>4062</v>
      </c>
      <c r="D5" s="201"/>
      <c r="E5" s="201"/>
      <c r="F5" s="201"/>
      <c r="G5" s="201"/>
      <c r="H5" s="201"/>
      <c r="I5" s="201"/>
    </row>
    <row r="6" spans="1:9" s="202" customFormat="1" ht="20.100000000000001" customHeight="1" x14ac:dyDescent="0.25">
      <c r="B6" s="206" t="s">
        <v>4058</v>
      </c>
      <c r="C6" s="206" t="s">
        <v>3914</v>
      </c>
      <c r="D6" s="201"/>
      <c r="E6" s="203"/>
      <c r="F6" s="201"/>
      <c r="G6" s="203"/>
      <c r="H6" s="201"/>
      <c r="I6" s="203"/>
    </row>
    <row r="7" spans="1:9" s="202" customFormat="1" ht="20.100000000000001" customHeight="1" x14ac:dyDescent="0.25">
      <c r="B7" s="206" t="s">
        <v>4055</v>
      </c>
      <c r="C7" s="206" t="s">
        <v>3788</v>
      </c>
      <c r="D7" s="201"/>
      <c r="E7" s="203"/>
      <c r="F7" s="201"/>
      <c r="G7" s="203"/>
      <c r="H7" s="201"/>
      <c r="I7" s="203"/>
    </row>
    <row r="8" spans="1:9" s="202" customFormat="1" ht="18" customHeight="1" x14ac:dyDescent="0.25">
      <c r="A8"/>
      <c r="B8"/>
      <c r="C8"/>
      <c r="D8"/>
      <c r="E8" s="203"/>
      <c r="F8" s="201"/>
      <c r="G8" s="203"/>
      <c r="H8" s="201"/>
      <c r="I8" s="203"/>
    </row>
    <row r="9" spans="1:9" s="202" customFormat="1" ht="18" customHeight="1" x14ac:dyDescent="0.25">
      <c r="A9"/>
      <c r="B9"/>
      <c r="C9"/>
      <c r="D9"/>
      <c r="E9" s="203"/>
      <c r="F9" s="201"/>
      <c r="G9" s="203"/>
      <c r="H9" s="201"/>
      <c r="I9" s="203"/>
    </row>
    <row r="10" spans="1:9" s="202" customFormat="1" ht="18" customHeight="1" x14ac:dyDescent="0.25">
      <c r="A10"/>
      <c r="B10"/>
      <c r="C10"/>
      <c r="D10"/>
      <c r="E10" s="203"/>
      <c r="F10" s="201"/>
      <c r="G10" s="203"/>
      <c r="H10" s="201"/>
      <c r="I10" s="203"/>
    </row>
    <row r="11" spans="1:9" s="202" customFormat="1" ht="18" customHeight="1" x14ac:dyDescent="0.25">
      <c r="A11"/>
      <c r="B11"/>
      <c r="C11"/>
      <c r="D11"/>
      <c r="E11" s="203"/>
      <c r="F11" s="201"/>
      <c r="G11" s="203"/>
      <c r="H11" s="201"/>
      <c r="I11" s="203"/>
    </row>
    <row r="12" spans="1:9" s="202" customFormat="1" ht="18" customHeight="1" x14ac:dyDescent="0.25">
      <c r="A12"/>
      <c r="B12"/>
      <c r="C12"/>
      <c r="D12"/>
      <c r="E12" s="203"/>
      <c r="F12" s="201"/>
      <c r="G12" s="203"/>
      <c r="H12" s="201"/>
      <c r="I12" s="203"/>
    </row>
    <row r="13" spans="1:9" s="202" customFormat="1" ht="18" customHeight="1" x14ac:dyDescent="0.25">
      <c r="B13" s="201"/>
      <c r="C13" s="201"/>
      <c r="D13" s="201"/>
      <c r="E13" s="203"/>
      <c r="F13" s="201"/>
      <c r="G13" s="203"/>
      <c r="H13" s="201"/>
      <c r="I13" s="203"/>
    </row>
    <row r="14" spans="1:9" s="202" customFormat="1" ht="18" customHeight="1" x14ac:dyDescent="0.25">
      <c r="B14" s="201"/>
      <c r="C14" s="201"/>
      <c r="D14" s="201"/>
      <c r="E14" s="203"/>
      <c r="F14" s="201"/>
      <c r="G14" s="203"/>
      <c r="H14" s="201"/>
      <c r="I14" s="201"/>
    </row>
    <row r="15" spans="1:9" s="202" customFormat="1" ht="18" customHeight="1" x14ac:dyDescent="0.25">
      <c r="B15" s="201"/>
      <c r="C15" s="201"/>
      <c r="D15" s="201"/>
      <c r="E15" s="203"/>
      <c r="F15" s="201"/>
      <c r="G15" s="203"/>
      <c r="H15" s="201"/>
      <c r="I15" s="201"/>
    </row>
    <row r="16" spans="1:9" s="202" customFormat="1" ht="18" customHeight="1" x14ac:dyDescent="0.25">
      <c r="B16" s="201"/>
      <c r="C16" s="201"/>
      <c r="D16" s="201"/>
      <c r="E16" s="203"/>
      <c r="F16" s="201"/>
      <c r="G16" s="203"/>
      <c r="H16" s="201"/>
      <c r="I16" s="201"/>
    </row>
    <row r="17" spans="2:9" s="202" customFormat="1" ht="36" customHeight="1" x14ac:dyDescent="0.25">
      <c r="B17" s="201"/>
      <c r="C17" s="201"/>
      <c r="D17" s="201"/>
      <c r="E17" s="203"/>
      <c r="F17" s="201"/>
      <c r="G17" s="203"/>
      <c r="H17" s="201"/>
      <c r="I17" s="201"/>
    </row>
    <row r="18" spans="2:9" s="202" customFormat="1" ht="18" customHeight="1" x14ac:dyDescent="0.25">
      <c r="B18" s="201"/>
      <c r="C18" s="201"/>
      <c r="D18" s="201"/>
      <c r="E18" s="203"/>
      <c r="F18" s="201"/>
      <c r="G18" s="203"/>
      <c r="H18" s="201"/>
      <c r="I18" s="201"/>
    </row>
    <row r="19" spans="2:9" s="202" customFormat="1" ht="18" customHeight="1" x14ac:dyDescent="0.25">
      <c r="B19" s="201"/>
      <c r="C19" s="201"/>
      <c r="D19" s="201"/>
      <c r="E19" s="203"/>
      <c r="F19" s="201"/>
      <c r="G19" s="203"/>
      <c r="H19" s="201"/>
      <c r="I19" s="201"/>
    </row>
    <row r="20" spans="2:9" s="202" customFormat="1" ht="18" customHeight="1" x14ac:dyDescent="0.25">
      <c r="B20" s="201"/>
      <c r="C20" s="201"/>
      <c r="D20" s="201"/>
      <c r="E20" s="203"/>
      <c r="F20" s="201"/>
      <c r="G20" s="203"/>
      <c r="H20" s="201"/>
      <c r="I20" s="201"/>
    </row>
    <row r="21" spans="2:9" s="202" customFormat="1" ht="18" customHeight="1" x14ac:dyDescent="0.25">
      <c r="B21" s="201"/>
      <c r="C21" s="201"/>
      <c r="D21" s="201"/>
      <c r="E21" s="203"/>
      <c r="F21" s="201"/>
      <c r="G21" s="203"/>
      <c r="H21" s="201"/>
      <c r="I21" s="201"/>
    </row>
    <row r="22" spans="2:9" s="202" customFormat="1" ht="18" customHeight="1" x14ac:dyDescent="0.25">
      <c r="B22" s="201"/>
      <c r="C22" s="201"/>
      <c r="D22" s="201"/>
      <c r="E22" s="203"/>
      <c r="F22" s="201"/>
      <c r="G22" s="203"/>
      <c r="H22" s="201"/>
      <c r="I22" s="201"/>
    </row>
    <row r="23" spans="2:9" s="202" customFormat="1" ht="18" customHeight="1" x14ac:dyDescent="0.25">
      <c r="B23" s="201"/>
      <c r="C23" s="201"/>
      <c r="D23" s="201"/>
      <c r="E23" s="203"/>
      <c r="F23" s="201"/>
      <c r="G23" s="203"/>
      <c r="H23" s="201"/>
      <c r="I23" s="201"/>
    </row>
    <row r="24" spans="2:9" s="202" customFormat="1" ht="18" customHeight="1" x14ac:dyDescent="0.25">
      <c r="B24" s="201"/>
      <c r="C24" s="201"/>
      <c r="D24" s="201"/>
      <c r="E24" s="203"/>
      <c r="F24" s="201"/>
      <c r="G24" s="203"/>
      <c r="H24" s="201"/>
      <c r="I24" s="201"/>
    </row>
    <row r="25" spans="2:9" s="202" customFormat="1" ht="18" customHeight="1" x14ac:dyDescent="0.25">
      <c r="B25" s="201"/>
      <c r="C25" s="201"/>
      <c r="D25" s="201"/>
      <c r="E25" s="203"/>
      <c r="F25" s="201"/>
      <c r="G25" s="203"/>
      <c r="H25" s="201"/>
      <c r="I25" s="201"/>
    </row>
    <row r="26" spans="2:9" s="202" customFormat="1" ht="18" customHeight="1" x14ac:dyDescent="0.25">
      <c r="B26" s="201"/>
      <c r="C26" s="201"/>
      <c r="D26" s="201"/>
      <c r="E26" s="203"/>
      <c r="F26" s="201"/>
      <c r="G26" s="203"/>
      <c r="H26" s="201"/>
      <c r="I26" s="201"/>
    </row>
    <row r="27" spans="2:9" s="202" customFormat="1" ht="18" customHeight="1" x14ac:dyDescent="0.25">
      <c r="B27" s="201"/>
      <c r="C27" s="201"/>
      <c r="D27" s="201"/>
      <c r="E27" s="203"/>
      <c r="F27" s="201"/>
      <c r="G27" s="203"/>
      <c r="H27" s="201"/>
      <c r="I27" s="201"/>
    </row>
    <row r="28" spans="2:9" s="202" customFormat="1" ht="16.5" x14ac:dyDescent="0.25">
      <c r="B28" s="201"/>
      <c r="C28" s="201"/>
      <c r="D28" s="201"/>
      <c r="E28" s="203"/>
      <c r="F28" s="201"/>
      <c r="G28" s="203"/>
      <c r="H28" s="201"/>
      <c r="I28" s="201"/>
    </row>
    <row r="29" spans="2:9" s="202" customFormat="1" ht="16.5" x14ac:dyDescent="0.25">
      <c r="B29" s="201"/>
      <c r="C29" s="201"/>
      <c r="D29" s="201"/>
      <c r="E29" s="203"/>
      <c r="F29" s="201"/>
      <c r="G29" s="203"/>
      <c r="H29" s="201"/>
      <c r="I29" s="201"/>
    </row>
    <row r="30" spans="2:9" s="202" customFormat="1" ht="16.5" x14ac:dyDescent="0.25">
      <c r="B30" s="201"/>
      <c r="C30" s="201"/>
      <c r="D30" s="201"/>
      <c r="E30" s="203"/>
      <c r="F30" s="201"/>
      <c r="G30" s="203"/>
      <c r="H30" s="201"/>
    </row>
    <row r="31" spans="2:9" s="202" customFormat="1" ht="14.25" x14ac:dyDescent="0.2"/>
    <row r="32" spans="2:9" s="202" customFormat="1" ht="14.25" x14ac:dyDescent="0.2"/>
    <row r="33" s="202" customFormat="1" ht="14.25" x14ac:dyDescent="0.2"/>
    <row r="34" s="202" customFormat="1" ht="14.25" x14ac:dyDescent="0.2"/>
    <row r="35" s="202" customFormat="1" ht="14.25" x14ac:dyDescent="0.2"/>
    <row r="36" s="202" customFormat="1" ht="14.25" x14ac:dyDescent="0.2"/>
    <row r="37" s="202" customFormat="1" ht="14.25" x14ac:dyDescent="0.2"/>
    <row r="38" s="202" customFormat="1" ht="14.25" x14ac:dyDescent="0.2"/>
    <row r="39" s="202" customFormat="1" ht="14.25" x14ac:dyDescent="0.2"/>
    <row r="40" s="202" customFormat="1" ht="14.25" x14ac:dyDescent="0.2"/>
    <row r="41" s="202" customFormat="1" ht="14.25" x14ac:dyDescent="0.2"/>
    <row r="42" s="202" customFormat="1" ht="14.25" x14ac:dyDescent="0.2"/>
    <row r="43" s="202" customFormat="1" ht="14.25" x14ac:dyDescent="0.2"/>
    <row r="44" s="202" customFormat="1" ht="14.25" x14ac:dyDescent="0.2"/>
    <row r="45" s="202" customFormat="1" ht="14.25" x14ac:dyDescent="0.2"/>
    <row r="46" s="202" customFormat="1" ht="14.25" x14ac:dyDescent="0.2"/>
    <row r="47" s="202" customFormat="1" ht="14.25" x14ac:dyDescent="0.2"/>
    <row r="48" s="202" customFormat="1" ht="14.25" x14ac:dyDescent="0.2"/>
    <row r="49" s="202" customFormat="1" ht="14.25" x14ac:dyDescent="0.2"/>
    <row r="50" s="202" customFormat="1" ht="14.25" x14ac:dyDescent="0.2"/>
    <row r="51" s="202" customFormat="1" ht="14.25" x14ac:dyDescent="0.2"/>
    <row r="52" s="202" customFormat="1" ht="14.25" x14ac:dyDescent="0.2"/>
    <row r="53" s="202" customFormat="1" ht="14.25" x14ac:dyDescent="0.2"/>
    <row r="54" s="202" customFormat="1" ht="14.25" x14ac:dyDescent="0.2"/>
    <row r="55" s="202" customFormat="1" ht="14.25" x14ac:dyDescent="0.2"/>
    <row r="56" s="202" customFormat="1" ht="14.25" x14ac:dyDescent="0.2"/>
    <row r="57" s="202" customFormat="1" ht="14.25" x14ac:dyDescent="0.2"/>
    <row r="58" s="202" customFormat="1" ht="14.25" x14ac:dyDescent="0.2"/>
    <row r="59" s="202" customFormat="1" ht="14.25" x14ac:dyDescent="0.2"/>
    <row r="60" s="202" customFormat="1" ht="14.25" x14ac:dyDescent="0.2"/>
    <row r="61" s="202" customFormat="1" ht="14.25" x14ac:dyDescent="0.2"/>
    <row r="62" s="202" customFormat="1" ht="14.25" x14ac:dyDescent="0.2"/>
    <row r="63" s="202" customFormat="1" ht="14.25" x14ac:dyDescent="0.2"/>
    <row r="64" s="202" customFormat="1" ht="14.25" x14ac:dyDescent="0.2"/>
    <row r="65" s="202" customFormat="1" ht="14.25" x14ac:dyDescent="0.2"/>
    <row r="66" s="202" customFormat="1" ht="14.25" x14ac:dyDescent="0.2"/>
    <row r="67" s="202" customFormat="1" ht="14.25" x14ac:dyDescent="0.2"/>
    <row r="68" s="202" customFormat="1" ht="14.25" x14ac:dyDescent="0.2"/>
    <row r="69" s="202" customFormat="1" ht="14.25" x14ac:dyDescent="0.2"/>
    <row r="70" s="202" customFormat="1" ht="14.25" x14ac:dyDescent="0.2"/>
    <row r="71" s="202" customFormat="1" ht="14.25" x14ac:dyDescent="0.2"/>
    <row r="72" s="202" customFormat="1" ht="14.25" x14ac:dyDescent="0.2"/>
    <row r="73" s="202" customFormat="1" ht="14.25" x14ac:dyDescent="0.2"/>
    <row r="74" s="202" customFormat="1" ht="14.25" x14ac:dyDescent="0.2"/>
    <row r="75" s="202" customFormat="1" ht="14.25" x14ac:dyDescent="0.2"/>
    <row r="76" s="202" customFormat="1" ht="14.25" x14ac:dyDescent="0.2"/>
    <row r="77" s="202" customFormat="1" ht="14.25" x14ac:dyDescent="0.2"/>
    <row r="78" s="202" customFormat="1" ht="14.25" x14ac:dyDescent="0.2"/>
    <row r="79" s="202" customFormat="1" ht="14.25" x14ac:dyDescent="0.2"/>
    <row r="80" s="202" customFormat="1" ht="14.25" x14ac:dyDescent="0.2"/>
    <row r="81" s="202" customFormat="1" ht="14.25" x14ac:dyDescent="0.2"/>
    <row r="82" s="202" customFormat="1" ht="14.25" x14ac:dyDescent="0.2"/>
    <row r="83" s="202" customFormat="1" ht="14.25" x14ac:dyDescent="0.2"/>
    <row r="84" s="202" customFormat="1" ht="14.25" x14ac:dyDescent="0.2"/>
    <row r="85" s="202" customFormat="1" ht="14.25" x14ac:dyDescent="0.2"/>
    <row r="86" s="202" customFormat="1" ht="14.25" x14ac:dyDescent="0.2"/>
    <row r="87" s="202" customFormat="1" ht="14.25" x14ac:dyDescent="0.2"/>
    <row r="88" s="202" customFormat="1" ht="14.25" x14ac:dyDescent="0.2"/>
    <row r="89" s="202" customFormat="1" ht="14.25" x14ac:dyDescent="0.2"/>
    <row r="90" s="202" customFormat="1" ht="14.25" x14ac:dyDescent="0.2"/>
    <row r="91" s="202" customFormat="1" ht="14.25" x14ac:dyDescent="0.2"/>
    <row r="92" s="202" customFormat="1" ht="14.25" x14ac:dyDescent="0.2"/>
    <row r="93" s="202" customFormat="1" ht="14.25" x14ac:dyDescent="0.2"/>
    <row r="94" s="202" customFormat="1" ht="14.25" x14ac:dyDescent="0.2"/>
    <row r="95" s="202" customFormat="1" ht="14.25" x14ac:dyDescent="0.2"/>
    <row r="96" s="202" customFormat="1" ht="14.25" x14ac:dyDescent="0.2"/>
    <row r="97" s="202" customFormat="1" ht="14.25" x14ac:dyDescent="0.2"/>
    <row r="98" s="202" customFormat="1" ht="14.25" x14ac:dyDescent="0.2"/>
    <row r="99" s="202" customFormat="1" ht="14.25" x14ac:dyDescent="0.2"/>
    <row r="100" ht="0" hidden="1" customHeight="1" x14ac:dyDescent="0.2"/>
  </sheetData>
  <mergeCells count="1">
    <mergeCell ref="B1:C1"/>
  </mergeCells>
  <pageMargins left="0.7" right="0.7" top="0.75" bottom="0.75" header="0.3" footer="0.3"/>
  <pageSetup fitToWidth="0" fitToHeight="2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Config">
    <tabColor rgb="FFFFFF00"/>
  </sheetPr>
  <dimension ref="A1:R34"/>
  <sheetViews>
    <sheetView showGridLines="0" workbookViewId="0">
      <selection activeCell="B11" sqref="B11"/>
    </sheetView>
  </sheetViews>
  <sheetFormatPr defaultRowHeight="14.25" x14ac:dyDescent="0.2"/>
  <cols>
    <col min="1" max="1" width="24.375" customWidth="1"/>
    <col min="2" max="2" width="59.625" customWidth="1"/>
    <col min="3" max="3" width="4.25" customWidth="1"/>
    <col min="4" max="4" width="6.125" customWidth="1"/>
    <col min="5" max="5" width="15.625" customWidth="1"/>
    <col min="6" max="6" width="8.375" customWidth="1"/>
    <col min="7" max="7" width="10.125" customWidth="1"/>
    <col min="8" max="8" width="8.75" customWidth="1"/>
    <col min="9" max="9" width="5.875" customWidth="1"/>
    <col min="16" max="16" width="28.625" customWidth="1"/>
    <col min="17" max="17" width="29.125" customWidth="1"/>
  </cols>
  <sheetData>
    <row r="1" spans="1:18" x14ac:dyDescent="0.2">
      <c r="A1" s="15" t="s">
        <v>459</v>
      </c>
      <c r="B1" s="15"/>
      <c r="C1" s="15"/>
      <c r="D1" s="15" t="s">
        <v>456</v>
      </c>
      <c r="E1" s="15"/>
      <c r="F1" s="15"/>
      <c r="G1" s="15"/>
      <c r="H1" s="15"/>
      <c r="I1" s="15"/>
      <c r="N1" t="s">
        <v>4009</v>
      </c>
    </row>
    <row r="3" spans="1:18" ht="15" x14ac:dyDescent="0.25">
      <c r="A3" s="67" t="s">
        <v>460</v>
      </c>
      <c r="B3" s="67" t="s">
        <v>455</v>
      </c>
      <c r="C3" s="6"/>
      <c r="D3" s="67" t="s">
        <v>62</v>
      </c>
      <c r="E3" s="67" t="s">
        <v>181</v>
      </c>
      <c r="F3" s="67" t="s">
        <v>187</v>
      </c>
      <c r="G3" s="67" t="s">
        <v>457</v>
      </c>
      <c r="H3" s="67" t="s">
        <v>458</v>
      </c>
      <c r="I3" s="67" t="s">
        <v>190</v>
      </c>
      <c r="N3" s="67" t="s">
        <v>340</v>
      </c>
      <c r="O3" s="67" t="s">
        <v>355</v>
      </c>
      <c r="P3" s="67" t="s">
        <v>4010</v>
      </c>
      <c r="Q3" s="67" t="s">
        <v>387</v>
      </c>
      <c r="R3" s="193" t="s">
        <v>4013</v>
      </c>
    </row>
    <row r="4" spans="1:18" x14ac:dyDescent="0.2">
      <c r="A4" s="8" t="s">
        <v>980</v>
      </c>
      <c r="B4" s="8" t="s">
        <v>3769</v>
      </c>
      <c r="D4" s="8"/>
      <c r="E4" s="8"/>
      <c r="F4" s="8"/>
      <c r="G4" s="8"/>
      <c r="H4" s="8"/>
      <c r="I4" s="8"/>
      <c r="N4" s="8">
        <v>1</v>
      </c>
      <c r="O4" s="8">
        <v>2023</v>
      </c>
      <c r="P4" s="8" t="s">
        <v>3914</v>
      </c>
      <c r="Q4" s="8" t="s">
        <v>3927</v>
      </c>
    </row>
    <row r="5" spans="1:18" x14ac:dyDescent="0.2">
      <c r="A5" s="8" t="s">
        <v>546</v>
      </c>
      <c r="B5" s="8" t="s">
        <v>3912</v>
      </c>
      <c r="D5" s="8"/>
      <c r="E5" s="8"/>
      <c r="F5" s="8"/>
      <c r="G5" s="8"/>
      <c r="H5" s="8"/>
      <c r="I5" s="8"/>
      <c r="N5" s="8">
        <v>2</v>
      </c>
      <c r="O5" s="8">
        <v>2023</v>
      </c>
      <c r="P5" s="8" t="s">
        <v>3914</v>
      </c>
      <c r="Q5" s="8" t="s">
        <v>4014</v>
      </c>
    </row>
    <row r="6" spans="1:18" x14ac:dyDescent="0.2">
      <c r="A6" s="8" t="s">
        <v>481</v>
      </c>
      <c r="B6" s="8" t="s">
        <v>4062</v>
      </c>
      <c r="D6" s="8"/>
      <c r="E6" s="8"/>
      <c r="F6" s="8"/>
      <c r="G6" s="8"/>
      <c r="H6" s="8"/>
      <c r="I6" s="8"/>
      <c r="N6" s="8">
        <v>3</v>
      </c>
      <c r="O6" s="8">
        <v>2024</v>
      </c>
      <c r="P6" s="8" t="s">
        <v>3914</v>
      </c>
      <c r="Q6" s="8" t="s">
        <v>3771</v>
      </c>
    </row>
    <row r="7" spans="1:18" x14ac:dyDescent="0.2">
      <c r="A7" s="8" t="s">
        <v>498</v>
      </c>
      <c r="B7" s="8" t="s">
        <v>3759</v>
      </c>
      <c r="D7" s="8"/>
      <c r="E7" s="8"/>
      <c r="F7" s="8"/>
      <c r="G7" s="8"/>
      <c r="H7" s="8"/>
      <c r="I7" s="8"/>
      <c r="N7" s="8"/>
      <c r="O7" s="8"/>
      <c r="P7" s="8"/>
      <c r="Q7" s="8"/>
    </row>
    <row r="8" spans="1:18" x14ac:dyDescent="0.2">
      <c r="A8" s="8" t="s">
        <v>512</v>
      </c>
      <c r="B8" s="192" t="s">
        <v>3760</v>
      </c>
      <c r="D8" s="8"/>
      <c r="E8" s="8"/>
      <c r="F8" s="8"/>
      <c r="G8" s="8"/>
      <c r="H8" s="8"/>
      <c r="I8" s="8"/>
      <c r="N8" s="8"/>
      <c r="O8" s="8"/>
      <c r="P8" s="8"/>
      <c r="Q8" s="8"/>
    </row>
    <row r="9" spans="1:18" x14ac:dyDescent="0.2">
      <c r="A9" s="8" t="s">
        <v>547</v>
      </c>
      <c r="B9" s="8" t="s">
        <v>1624</v>
      </c>
      <c r="D9" s="8"/>
      <c r="E9" s="8"/>
      <c r="F9" s="8"/>
      <c r="G9" s="8"/>
      <c r="H9" s="8"/>
      <c r="I9" s="8"/>
      <c r="N9" s="8"/>
      <c r="O9" s="8"/>
      <c r="P9" s="8"/>
      <c r="Q9" s="8"/>
    </row>
    <row r="10" spans="1:18" x14ac:dyDescent="0.2">
      <c r="A10" s="8" t="s">
        <v>3823</v>
      </c>
      <c r="B10" s="9" t="s">
        <v>3787</v>
      </c>
      <c r="D10" s="8"/>
      <c r="E10" s="8"/>
      <c r="F10" s="8"/>
      <c r="G10" s="8"/>
      <c r="H10" s="8"/>
      <c r="I10" s="8"/>
      <c r="N10" s="8"/>
      <c r="O10" s="8"/>
      <c r="P10" s="8"/>
      <c r="Q10" s="8"/>
    </row>
    <row r="11" spans="1:18" x14ac:dyDescent="0.2">
      <c r="A11" s="8" t="s">
        <v>3824</v>
      </c>
      <c r="B11" s="9" t="s">
        <v>3788</v>
      </c>
      <c r="D11" s="8"/>
      <c r="E11" s="8"/>
      <c r="F11" s="8"/>
      <c r="G11" s="8"/>
      <c r="H11" s="8"/>
      <c r="I11" s="8"/>
      <c r="N11" s="8"/>
      <c r="O11" s="8"/>
      <c r="P11" s="8"/>
      <c r="Q11" s="8"/>
    </row>
    <row r="12" spans="1:18" x14ac:dyDescent="0.2">
      <c r="A12" s="9" t="s">
        <v>4057</v>
      </c>
      <c r="B12" s="9" t="s">
        <v>3771</v>
      </c>
      <c r="D12" s="8"/>
      <c r="E12" s="8"/>
      <c r="F12" s="8"/>
      <c r="G12" s="8"/>
      <c r="H12" s="8"/>
      <c r="I12" s="8"/>
      <c r="N12" s="8"/>
      <c r="O12" s="8"/>
      <c r="P12" s="8"/>
      <c r="Q12" s="8"/>
    </row>
    <row r="13" spans="1:18" x14ac:dyDescent="0.2">
      <c r="A13" s="8" t="s">
        <v>4059</v>
      </c>
      <c r="B13" s="9" t="s">
        <v>3914</v>
      </c>
      <c r="D13" s="8"/>
      <c r="E13" s="8"/>
      <c r="F13" s="8"/>
      <c r="G13" s="8"/>
      <c r="H13" s="8"/>
      <c r="I13" s="8"/>
      <c r="N13" s="8"/>
      <c r="O13" s="8"/>
      <c r="P13" s="8"/>
      <c r="Q13" s="8"/>
    </row>
    <row r="14" spans="1:18" x14ac:dyDescent="0.2">
      <c r="A14" s="9"/>
      <c r="B14" s="9"/>
      <c r="D14" s="8"/>
      <c r="E14" s="8"/>
      <c r="F14" s="8"/>
      <c r="G14" s="8"/>
      <c r="H14" s="8"/>
      <c r="I14" s="8"/>
      <c r="N14" s="8"/>
      <c r="O14" s="8"/>
      <c r="P14" s="8"/>
      <c r="Q14" s="8"/>
    </row>
    <row r="15" spans="1:18" x14ac:dyDescent="0.2">
      <c r="A15" s="9"/>
      <c r="B15" s="9"/>
      <c r="D15" s="8"/>
      <c r="E15" s="8"/>
      <c r="F15" s="8"/>
      <c r="G15" s="8"/>
      <c r="H15" s="8"/>
      <c r="I15" s="8"/>
      <c r="N15" s="8"/>
      <c r="O15" s="8"/>
      <c r="P15" s="8"/>
      <c r="Q15" s="8"/>
    </row>
    <row r="16" spans="1:18" x14ac:dyDescent="0.2">
      <c r="A16" s="9"/>
      <c r="B16" s="9"/>
      <c r="D16" s="8"/>
      <c r="E16" s="8"/>
      <c r="F16" s="8"/>
      <c r="G16" s="8"/>
      <c r="H16" s="8"/>
      <c r="I16" s="8"/>
      <c r="N16" s="8"/>
      <c r="O16" s="8"/>
      <c r="P16" s="8"/>
      <c r="Q16" s="8"/>
    </row>
    <row r="17" spans="1:17" x14ac:dyDescent="0.2">
      <c r="A17" s="9"/>
      <c r="B17" s="9"/>
      <c r="D17" s="8"/>
      <c r="E17" s="8"/>
      <c r="F17" s="8"/>
      <c r="G17" s="8"/>
      <c r="H17" s="8"/>
      <c r="I17" s="8"/>
      <c r="N17" s="8"/>
      <c r="O17" s="8"/>
      <c r="P17" s="8"/>
      <c r="Q17" s="8"/>
    </row>
    <row r="18" spans="1:17" x14ac:dyDescent="0.2">
      <c r="A18" s="9"/>
      <c r="B18" s="9"/>
      <c r="D18" s="8"/>
      <c r="E18" s="8"/>
      <c r="F18" s="8"/>
      <c r="G18" s="8"/>
      <c r="H18" s="8"/>
      <c r="I18" s="8"/>
      <c r="N18" s="8"/>
      <c r="O18" s="8"/>
      <c r="P18" s="8"/>
      <c r="Q18" s="8"/>
    </row>
    <row r="19" spans="1:17" x14ac:dyDescent="0.2">
      <c r="N19" s="8"/>
      <c r="O19" s="8"/>
      <c r="P19" s="8"/>
      <c r="Q19" s="8"/>
    </row>
    <row r="20" spans="1:17" x14ac:dyDescent="0.2">
      <c r="N20" s="8"/>
      <c r="O20" s="8"/>
      <c r="P20" s="8"/>
      <c r="Q20" s="8"/>
    </row>
    <row r="21" spans="1:17" x14ac:dyDescent="0.2">
      <c r="N21" s="8"/>
      <c r="O21" s="8"/>
      <c r="P21" s="8"/>
      <c r="Q21" s="8"/>
    </row>
    <row r="22" spans="1:17" x14ac:dyDescent="0.2">
      <c r="N22" s="8"/>
      <c r="O22" s="8"/>
      <c r="P22" s="8"/>
      <c r="Q22" s="8"/>
    </row>
    <row r="23" spans="1:17" x14ac:dyDescent="0.2">
      <c r="N23" s="8"/>
      <c r="O23" s="8"/>
      <c r="P23" s="8"/>
      <c r="Q23" s="8"/>
    </row>
    <row r="24" spans="1:17" x14ac:dyDescent="0.2">
      <c r="N24" s="8"/>
      <c r="O24" s="8"/>
      <c r="P24" s="8"/>
      <c r="Q24" s="8"/>
    </row>
    <row r="25" spans="1:17" x14ac:dyDescent="0.2">
      <c r="N25" s="8"/>
      <c r="O25" s="8"/>
      <c r="P25" s="8"/>
      <c r="Q25" s="8"/>
    </row>
    <row r="26" spans="1:17" x14ac:dyDescent="0.2">
      <c r="N26" s="8"/>
      <c r="O26" s="8"/>
      <c r="P26" s="8"/>
      <c r="Q26" s="8"/>
    </row>
    <row r="27" spans="1:17" x14ac:dyDescent="0.2">
      <c r="N27" s="8"/>
      <c r="O27" s="8"/>
      <c r="P27" s="8"/>
      <c r="Q27" s="8"/>
    </row>
    <row r="28" spans="1:17" x14ac:dyDescent="0.2">
      <c r="N28" s="8"/>
      <c r="O28" s="8"/>
      <c r="P28" s="8"/>
      <c r="Q28" s="8"/>
    </row>
    <row r="29" spans="1:17" x14ac:dyDescent="0.2">
      <c r="N29" s="8"/>
      <c r="O29" s="8"/>
      <c r="P29" s="8"/>
      <c r="Q29" s="8"/>
    </row>
    <row r="30" spans="1:17" x14ac:dyDescent="0.2">
      <c r="N30" s="8"/>
      <c r="O30" s="8"/>
      <c r="P30" s="8"/>
      <c r="Q30" s="8"/>
    </row>
    <row r="31" spans="1:17" x14ac:dyDescent="0.2">
      <c r="N31" s="8"/>
      <c r="O31" s="8"/>
      <c r="P31" s="8"/>
      <c r="Q31" s="8"/>
    </row>
    <row r="32" spans="1:17" x14ac:dyDescent="0.2">
      <c r="N32" s="8"/>
      <c r="O32" s="8"/>
      <c r="P32" s="8"/>
      <c r="Q32" s="8"/>
    </row>
    <row r="33" spans="14:17" x14ac:dyDescent="0.2">
      <c r="N33" s="8"/>
      <c r="O33" s="8"/>
      <c r="P33" s="8"/>
      <c r="Q33" s="8"/>
    </row>
    <row r="34" spans="14:17" x14ac:dyDescent="0.2">
      <c r="N34" s="8"/>
      <c r="O34" s="8"/>
      <c r="P34" s="8"/>
      <c r="Q3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uThau_Out"/>
  <dimension ref="A1:AQ211"/>
  <sheetViews>
    <sheetView topLeftCell="T1" zoomScale="85" zoomScaleNormal="85" workbookViewId="0">
      <selection activeCell="Z3" sqref="Z3"/>
    </sheetView>
  </sheetViews>
  <sheetFormatPr defaultRowHeight="14.25" x14ac:dyDescent="0.2"/>
  <cols>
    <col min="1" max="1" width="8.375" customWidth="1"/>
    <col min="2" max="2" width="27.75" bestFit="1" customWidth="1"/>
    <col min="3" max="3" width="20.75" bestFit="1" customWidth="1"/>
    <col min="4" max="4" width="14.25" bestFit="1" customWidth="1"/>
    <col min="5" max="5" width="107.75" bestFit="1" customWidth="1"/>
    <col min="7" max="7" width="3.75" bestFit="1" customWidth="1"/>
    <col min="8" max="8" width="44.25" bestFit="1" customWidth="1"/>
    <col min="9" max="9" width="24" bestFit="1" customWidth="1"/>
    <col min="10" max="10" width="14.375" bestFit="1" customWidth="1"/>
    <col min="11" max="11" width="15.375" bestFit="1" customWidth="1"/>
    <col min="12" max="12" width="20.25" bestFit="1" customWidth="1"/>
    <col min="13" max="13" width="17.75" bestFit="1" customWidth="1"/>
    <col min="14" max="14" width="25.625" bestFit="1" customWidth="1"/>
    <col min="15" max="15" width="10.375" bestFit="1" customWidth="1"/>
    <col min="16" max="18" width="11" bestFit="1" customWidth="1"/>
    <col min="19" max="19" width="11.5" bestFit="1" customWidth="1"/>
    <col min="20" max="20" width="12.125" bestFit="1" customWidth="1"/>
    <col min="21" max="21" width="5.25" customWidth="1"/>
    <col min="22" max="22" width="12.75" customWidth="1"/>
    <col min="23" max="23" width="32.125" bestFit="1" customWidth="1"/>
    <col min="24" max="24" width="25.625" bestFit="1" customWidth="1"/>
    <col min="25" max="25" width="24.375" bestFit="1" customWidth="1"/>
    <col min="26" max="26" width="27.25" bestFit="1" customWidth="1"/>
    <col min="27" max="27" width="14.125" customWidth="1"/>
    <col min="28" max="28" width="9.25" customWidth="1"/>
    <col min="29" max="29" width="43.875" bestFit="1" customWidth="1"/>
    <col min="30" max="30" width="19.75" style="3" customWidth="1"/>
    <col min="31" max="31" width="17.125" customWidth="1"/>
    <col min="34" max="34" width="19.375" customWidth="1"/>
    <col min="37" max="37" width="8.625" customWidth="1"/>
    <col min="38" max="38" width="5.75" customWidth="1"/>
    <col min="39" max="39" width="27" customWidth="1"/>
  </cols>
  <sheetData>
    <row r="1" spans="1:43" ht="10.5" customHeight="1" x14ac:dyDescent="0.25">
      <c r="A1" s="68" t="s">
        <v>412</v>
      </c>
      <c r="B1" s="68"/>
      <c r="C1" s="68"/>
      <c r="D1" s="68"/>
      <c r="E1" s="68"/>
      <c r="F1" s="69"/>
      <c r="G1" s="68" t="s">
        <v>1564</v>
      </c>
      <c r="H1" s="69"/>
      <c r="W1">
        <v>1</v>
      </c>
      <c r="X1">
        <v>2</v>
      </c>
      <c r="Y1">
        <v>3</v>
      </c>
      <c r="Z1">
        <v>4</v>
      </c>
      <c r="AA1">
        <v>5</v>
      </c>
      <c r="AB1" s="186">
        <v>6</v>
      </c>
      <c r="AC1" s="9">
        <v>7</v>
      </c>
      <c r="AD1" s="186">
        <v>8</v>
      </c>
      <c r="AE1" s="9">
        <v>9</v>
      </c>
      <c r="AH1" s="6" t="s">
        <v>1605</v>
      </c>
      <c r="AL1" s="6" t="s">
        <v>1610</v>
      </c>
      <c r="AQ1" t="s">
        <v>1611</v>
      </c>
    </row>
    <row r="2" spans="1:43" x14ac:dyDescent="0.2">
      <c r="AB2" s="186"/>
      <c r="AC2" s="9"/>
      <c r="AD2" s="186"/>
      <c r="AE2" s="9"/>
    </row>
    <row r="3" spans="1:43" ht="98.45" customHeight="1" x14ac:dyDescent="0.25">
      <c r="A3" s="150" t="s">
        <v>62</v>
      </c>
      <c r="B3" s="150" t="s">
        <v>413</v>
      </c>
      <c r="C3" s="150" t="s">
        <v>414</v>
      </c>
      <c r="D3" s="150" t="s">
        <v>1563</v>
      </c>
      <c r="G3" s="150" t="s">
        <v>388</v>
      </c>
      <c r="H3" s="150" t="s">
        <v>1551</v>
      </c>
      <c r="I3" s="150" t="s">
        <v>387</v>
      </c>
      <c r="J3" s="150" t="s">
        <v>495</v>
      </c>
      <c r="K3" s="150" t="s">
        <v>395</v>
      </c>
      <c r="L3" s="150" t="s">
        <v>389</v>
      </c>
      <c r="M3" s="150" t="s">
        <v>390</v>
      </c>
      <c r="N3" s="150" t="s">
        <v>391</v>
      </c>
      <c r="O3" s="150" t="s">
        <v>480</v>
      </c>
      <c r="P3" s="150" t="s">
        <v>392</v>
      </c>
      <c r="Q3" s="150" t="s">
        <v>393</v>
      </c>
      <c r="R3" s="150" t="s">
        <v>3786</v>
      </c>
      <c r="S3" s="150" t="s">
        <v>496</v>
      </c>
      <c r="T3" s="150" t="s">
        <v>394</v>
      </c>
      <c r="U3" s="123"/>
      <c r="V3" s="4" t="s">
        <v>4068</v>
      </c>
      <c r="W3" s="4" t="s">
        <v>4002</v>
      </c>
      <c r="X3" s="4" t="s">
        <v>4003</v>
      </c>
      <c r="Y3" s="4" t="s">
        <v>4004</v>
      </c>
      <c r="Z3" s="4" t="s">
        <v>4005</v>
      </c>
      <c r="AB3" s="208" t="s">
        <v>388</v>
      </c>
      <c r="AC3" s="209" t="s">
        <v>1567</v>
      </c>
      <c r="AD3" s="208" t="s">
        <v>1568</v>
      </c>
      <c r="AE3" s="209"/>
      <c r="AH3" s="4" t="s">
        <v>4006</v>
      </c>
      <c r="AI3" s="4" t="s">
        <v>4007</v>
      </c>
      <c r="AJ3" s="4" t="s">
        <v>4008</v>
      </c>
      <c r="AL3" s="6"/>
      <c r="AM3" s="6"/>
      <c r="AN3" s="6"/>
      <c r="AO3" s="6"/>
    </row>
    <row r="4" spans="1:43" ht="15" x14ac:dyDescent="0.25">
      <c r="A4" s="160">
        <v>1</v>
      </c>
      <c r="B4" s="151" t="s">
        <v>3924</v>
      </c>
      <c r="C4" s="151" t="s">
        <v>508</v>
      </c>
      <c r="D4" s="153">
        <v>402120000</v>
      </c>
      <c r="G4" s="155">
        <v>1</v>
      </c>
      <c r="H4" s="155" t="s">
        <v>3754</v>
      </c>
      <c r="I4" s="155" t="s">
        <v>3927</v>
      </c>
      <c r="J4" s="155" t="s">
        <v>3928</v>
      </c>
      <c r="K4" s="156">
        <v>98000000</v>
      </c>
      <c r="L4" s="155" t="s">
        <v>3770</v>
      </c>
      <c r="M4" s="155" t="s">
        <v>3929</v>
      </c>
      <c r="N4" s="155" t="s">
        <v>3930</v>
      </c>
      <c r="O4" s="155">
        <v>15</v>
      </c>
      <c r="P4" s="155" t="s">
        <v>3755</v>
      </c>
      <c r="Q4" s="155" t="s">
        <v>3756</v>
      </c>
      <c r="R4" s="155" t="s">
        <v>3757</v>
      </c>
      <c r="S4" s="155" t="s">
        <v>3758</v>
      </c>
      <c r="T4" s="155" t="s">
        <v>226</v>
      </c>
      <c r="U4" s="121"/>
      <c r="AB4" s="208"/>
      <c r="AC4" s="209"/>
      <c r="AD4" s="208" t="s">
        <v>1569</v>
      </c>
      <c r="AE4" s="209" t="s">
        <v>1570</v>
      </c>
      <c r="AF4" s="6"/>
      <c r="AL4">
        <v>2</v>
      </c>
      <c r="AM4" t="s">
        <v>242</v>
      </c>
      <c r="AO4">
        <v>1</v>
      </c>
    </row>
    <row r="5" spans="1:43" ht="15" x14ac:dyDescent="0.25">
      <c r="A5" s="160"/>
      <c r="B5" s="151"/>
      <c r="C5" s="151"/>
      <c r="D5" s="153"/>
      <c r="G5" s="155">
        <v>2</v>
      </c>
      <c r="H5" s="155" t="s">
        <v>3754</v>
      </c>
      <c r="I5" s="155" t="s">
        <v>3771</v>
      </c>
      <c r="J5" s="155" t="s">
        <v>3933</v>
      </c>
      <c r="K5" s="156">
        <v>120000000</v>
      </c>
      <c r="L5" s="155" t="s">
        <v>3770</v>
      </c>
      <c r="M5" s="155" t="s">
        <v>3934</v>
      </c>
      <c r="N5" s="155" t="s">
        <v>3768</v>
      </c>
      <c r="O5" s="155">
        <v>30</v>
      </c>
      <c r="P5" s="155" t="s">
        <v>3755</v>
      </c>
      <c r="Q5" s="155" t="s">
        <v>3756</v>
      </c>
      <c r="R5" s="155" t="s">
        <v>3935</v>
      </c>
      <c r="S5" s="155" t="s">
        <v>3758</v>
      </c>
      <c r="T5" s="155" t="s">
        <v>226</v>
      </c>
      <c r="U5" s="121"/>
      <c r="AB5" s="208"/>
      <c r="AC5" s="209" t="s">
        <v>1572</v>
      </c>
      <c r="AD5" s="208"/>
      <c r="AE5" s="209"/>
      <c r="AF5" s="4"/>
      <c r="AL5">
        <v>1</v>
      </c>
      <c r="AM5" t="s">
        <v>266</v>
      </c>
      <c r="AO5">
        <v>2</v>
      </c>
    </row>
    <row r="6" spans="1:43" ht="57" x14ac:dyDescent="0.2">
      <c r="A6" s="160"/>
      <c r="B6" s="151"/>
      <c r="C6" s="151"/>
      <c r="D6" s="153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V6" s="9"/>
      <c r="W6" s="9"/>
      <c r="X6" s="9"/>
      <c r="Y6" s="9"/>
      <c r="AB6" s="210">
        <v>1</v>
      </c>
      <c r="AC6" s="211" t="s">
        <v>3985</v>
      </c>
      <c r="AD6" s="212" t="s">
        <v>1573</v>
      </c>
      <c r="AE6" s="213"/>
    </row>
    <row r="7" spans="1:43" ht="15" x14ac:dyDescent="0.25">
      <c r="A7" s="161"/>
      <c r="B7" s="152"/>
      <c r="C7" s="152"/>
      <c r="D7" s="154"/>
      <c r="E7" s="6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AB7" s="212">
        <v>2</v>
      </c>
      <c r="AC7" s="213" t="s">
        <v>3986</v>
      </c>
      <c r="AD7" s="212" t="s">
        <v>1573</v>
      </c>
      <c r="AE7" s="213"/>
    </row>
    <row r="8" spans="1:43" ht="13.9" customHeight="1" x14ac:dyDescent="0.25">
      <c r="A8" s="161"/>
      <c r="B8" s="152"/>
      <c r="C8" s="152"/>
      <c r="D8" s="152"/>
      <c r="E8" s="6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AB8" s="212">
        <v>3</v>
      </c>
      <c r="AC8" s="213" t="s">
        <v>3987</v>
      </c>
      <c r="AD8" s="212" t="s">
        <v>1573</v>
      </c>
      <c r="AE8" s="213"/>
    </row>
    <row r="9" spans="1:43" ht="15" x14ac:dyDescent="0.25">
      <c r="A9" s="161"/>
      <c r="B9" s="152"/>
      <c r="C9" s="152"/>
      <c r="D9" s="152"/>
      <c r="E9" s="6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AB9" s="212">
        <v>4</v>
      </c>
      <c r="AC9" s="213" t="s">
        <v>3998</v>
      </c>
      <c r="AD9" s="212" t="s">
        <v>1573</v>
      </c>
      <c r="AE9" s="213"/>
    </row>
    <row r="10" spans="1:43" x14ac:dyDescent="0.2">
      <c r="A10" s="161"/>
      <c r="B10" s="152"/>
      <c r="C10" s="152"/>
      <c r="D10" s="152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AB10" s="212">
        <v>5</v>
      </c>
      <c r="AC10" s="213" t="s">
        <v>3988</v>
      </c>
      <c r="AD10" s="212" t="s">
        <v>1573</v>
      </c>
      <c r="AE10" s="213"/>
    </row>
    <row r="11" spans="1:43" ht="15" x14ac:dyDescent="0.25">
      <c r="A11" s="161"/>
      <c r="B11" s="152"/>
      <c r="C11" s="152"/>
      <c r="D11" s="152"/>
      <c r="E11" s="110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AB11" s="212">
        <v>6</v>
      </c>
      <c r="AC11" s="214" t="s">
        <v>3999</v>
      </c>
      <c r="AD11" s="212" t="s">
        <v>1573</v>
      </c>
      <c r="AE11" s="213"/>
    </row>
    <row r="12" spans="1:43" x14ac:dyDescent="0.2">
      <c r="A12" s="161"/>
      <c r="B12" s="152"/>
      <c r="C12" s="152"/>
      <c r="D12" s="152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AB12" s="212">
        <v>7</v>
      </c>
      <c r="AC12" s="213" t="s">
        <v>3989</v>
      </c>
      <c r="AD12" s="212" t="s">
        <v>1573</v>
      </c>
      <c r="AE12" s="213"/>
    </row>
    <row r="13" spans="1:43" x14ac:dyDescent="0.2">
      <c r="A13" s="161"/>
      <c r="B13" s="152"/>
      <c r="C13" s="152"/>
      <c r="D13" s="152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AB13" s="212">
        <v>8</v>
      </c>
      <c r="AC13" s="213" t="s">
        <v>3990</v>
      </c>
      <c r="AD13" s="212" t="s">
        <v>1573</v>
      </c>
      <c r="AE13" s="213"/>
    </row>
    <row r="14" spans="1:43" x14ac:dyDescent="0.2">
      <c r="A14" s="161"/>
      <c r="B14" s="152"/>
      <c r="C14" s="152"/>
      <c r="D14" s="152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AB14" s="212">
        <v>9</v>
      </c>
      <c r="AC14" s="213" t="s">
        <v>3991</v>
      </c>
      <c r="AD14" s="212" t="s">
        <v>1573</v>
      </c>
      <c r="AE14" s="213"/>
    </row>
    <row r="15" spans="1:43" x14ac:dyDescent="0.2">
      <c r="A15" s="150"/>
      <c r="B15" s="150"/>
      <c r="C15" s="150"/>
      <c r="D15" s="150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AB15" s="212">
        <v>10</v>
      </c>
      <c r="AC15" s="213" t="s">
        <v>3992</v>
      </c>
      <c r="AD15" s="212" t="s">
        <v>1573</v>
      </c>
      <c r="AE15" s="213"/>
    </row>
    <row r="16" spans="1:43" ht="15" x14ac:dyDescent="0.25">
      <c r="A16" s="160"/>
      <c r="B16" s="151"/>
      <c r="C16" s="151"/>
      <c r="D16" s="153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AB16" s="212">
        <v>11</v>
      </c>
      <c r="AC16" s="213" t="s">
        <v>3993</v>
      </c>
      <c r="AD16" s="212" t="s">
        <v>1573</v>
      </c>
      <c r="AE16" s="213"/>
      <c r="AF16" s="6"/>
    </row>
    <row r="17" spans="1:32" ht="15" x14ac:dyDescent="0.25">
      <c r="A17" s="160"/>
      <c r="B17" s="151"/>
      <c r="C17" s="151"/>
      <c r="D17" s="153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AB17" s="208"/>
      <c r="AC17" s="209" t="s">
        <v>1571</v>
      </c>
      <c r="AD17" s="212"/>
      <c r="AE17" s="213"/>
      <c r="AF17" s="4"/>
    </row>
    <row r="18" spans="1:32" ht="42.75" x14ac:dyDescent="0.2">
      <c r="A18" s="160"/>
      <c r="B18" s="151"/>
      <c r="C18" s="151"/>
      <c r="D18" s="153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AB18" s="210">
        <v>1</v>
      </c>
      <c r="AC18" s="211" t="s">
        <v>3994</v>
      </c>
      <c r="AD18" s="212" t="s">
        <v>1573</v>
      </c>
      <c r="AE18" s="213"/>
    </row>
    <row r="19" spans="1:32" x14ac:dyDescent="0.2">
      <c r="A19" s="161"/>
      <c r="B19" s="152"/>
      <c r="C19" s="152"/>
      <c r="D19" s="154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AB19" s="212">
        <v>2</v>
      </c>
      <c r="AC19" s="213" t="s">
        <v>3995</v>
      </c>
      <c r="AD19" s="212" t="s">
        <v>1573</v>
      </c>
      <c r="AE19" s="213"/>
    </row>
    <row r="20" spans="1:32" x14ac:dyDescent="0.2">
      <c r="A20" s="161"/>
      <c r="B20" s="152"/>
      <c r="C20" s="152"/>
      <c r="D20" s="152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AB20" s="212">
        <v>3</v>
      </c>
      <c r="AC20" s="213" t="s">
        <v>3987</v>
      </c>
      <c r="AD20" s="212" t="s">
        <v>1573</v>
      </c>
      <c r="AE20" s="213"/>
    </row>
    <row r="21" spans="1:32" x14ac:dyDescent="0.2">
      <c r="A21" s="161"/>
      <c r="B21" s="152"/>
      <c r="C21" s="152"/>
      <c r="D21" s="152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AB21" s="212">
        <v>4</v>
      </c>
      <c r="AC21" s="213" t="s">
        <v>4000</v>
      </c>
      <c r="AD21" s="212" t="s">
        <v>1573</v>
      </c>
      <c r="AE21" s="213"/>
    </row>
    <row r="22" spans="1:32" x14ac:dyDescent="0.2">
      <c r="A22" s="161"/>
      <c r="B22" s="152"/>
      <c r="C22" s="152"/>
      <c r="D22" s="152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AB22" s="212">
        <v>5</v>
      </c>
      <c r="AC22" s="213" t="s">
        <v>3996</v>
      </c>
      <c r="AD22" s="212" t="s">
        <v>1573</v>
      </c>
      <c r="AE22" s="213"/>
    </row>
    <row r="23" spans="1:32" x14ac:dyDescent="0.2">
      <c r="A23" s="150"/>
      <c r="B23" s="150"/>
      <c r="C23" s="150"/>
      <c r="D23" s="150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AB23" s="212">
        <v>6</v>
      </c>
      <c r="AC23" s="214" t="s">
        <v>4001</v>
      </c>
      <c r="AD23" s="212" t="s">
        <v>1573</v>
      </c>
      <c r="AE23" s="213"/>
    </row>
    <row r="24" spans="1:32" x14ac:dyDescent="0.2">
      <c r="A24" s="160"/>
      <c r="B24" s="151"/>
      <c r="C24" s="151"/>
      <c r="D24" s="153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AB24" s="212">
        <v>7</v>
      </c>
      <c r="AC24" s="213" t="s">
        <v>3989</v>
      </c>
      <c r="AD24" s="212" t="s">
        <v>1573</v>
      </c>
      <c r="AE24" s="213"/>
    </row>
    <row r="25" spans="1:32" x14ac:dyDescent="0.2">
      <c r="A25" s="160"/>
      <c r="B25" s="151"/>
      <c r="C25" s="151"/>
      <c r="D25" s="153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AB25" s="212">
        <v>8</v>
      </c>
      <c r="AC25" s="213" t="s">
        <v>3990</v>
      </c>
      <c r="AD25" s="212" t="s">
        <v>1573</v>
      </c>
      <c r="AE25" s="213"/>
    </row>
    <row r="26" spans="1:32" x14ac:dyDescent="0.2">
      <c r="A26" s="160"/>
      <c r="B26" s="151"/>
      <c r="C26" s="151"/>
      <c r="D26" s="153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AB26" s="212">
        <v>9</v>
      </c>
      <c r="AC26" s="213" t="s">
        <v>3997</v>
      </c>
      <c r="AD26" s="212" t="s">
        <v>1573</v>
      </c>
      <c r="AE26" s="213"/>
    </row>
    <row r="27" spans="1:32" x14ac:dyDescent="0.2">
      <c r="A27" s="161"/>
      <c r="B27" s="152"/>
      <c r="C27" s="152"/>
      <c r="D27" s="154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AB27" s="212">
        <v>10</v>
      </c>
      <c r="AC27" s="213" t="s">
        <v>3992</v>
      </c>
      <c r="AD27" s="212" t="s">
        <v>1573</v>
      </c>
      <c r="AE27" s="213"/>
    </row>
    <row r="28" spans="1:32" ht="15" x14ac:dyDescent="0.25">
      <c r="A28" s="161"/>
      <c r="B28" s="152"/>
      <c r="C28" s="152"/>
      <c r="D28" s="152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AB28" s="212">
        <v>11</v>
      </c>
      <c r="AC28" s="213" t="s">
        <v>3993</v>
      </c>
      <c r="AD28" s="212" t="s">
        <v>1573</v>
      </c>
      <c r="AE28" s="213"/>
      <c r="AF28" s="6"/>
    </row>
    <row r="29" spans="1:32" ht="15" x14ac:dyDescent="0.25">
      <c r="A29" s="161"/>
      <c r="B29" s="152"/>
      <c r="C29" s="152"/>
      <c r="D29" s="152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AB29" s="184"/>
      <c r="AC29" s="185"/>
      <c r="AD29" s="186"/>
      <c r="AE29" s="9"/>
      <c r="AF29" s="4"/>
    </row>
    <row r="30" spans="1:32" x14ac:dyDescent="0.2">
      <c r="A30" s="161"/>
      <c r="B30" s="152"/>
      <c r="C30" s="152"/>
      <c r="D30" s="152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AB30" s="189"/>
      <c r="AC30" s="187"/>
      <c r="AD30" s="186"/>
      <c r="AE30" s="9"/>
    </row>
    <row r="31" spans="1:32" x14ac:dyDescent="0.2"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AB31" s="186"/>
      <c r="AC31" s="9"/>
      <c r="AD31" s="186"/>
      <c r="AE31" s="9"/>
    </row>
    <row r="32" spans="1:32" x14ac:dyDescent="0.2">
      <c r="AB32" s="186"/>
      <c r="AC32" s="9"/>
      <c r="AD32" s="186"/>
      <c r="AE32" s="9"/>
    </row>
    <row r="33" spans="28:32" x14ac:dyDescent="0.2">
      <c r="AB33" s="186"/>
      <c r="AC33" s="9"/>
      <c r="AD33" s="186"/>
      <c r="AE33" s="9"/>
    </row>
    <row r="34" spans="28:32" x14ac:dyDescent="0.2">
      <c r="AB34" s="186"/>
      <c r="AC34" s="9"/>
      <c r="AD34" s="186"/>
      <c r="AE34" s="9"/>
    </row>
    <row r="35" spans="28:32" x14ac:dyDescent="0.2">
      <c r="AB35" s="186"/>
      <c r="AC35" s="188"/>
      <c r="AD35" s="186"/>
      <c r="AE35" s="9"/>
    </row>
    <row r="36" spans="28:32" x14ac:dyDescent="0.2">
      <c r="AB36" s="186"/>
      <c r="AC36" s="9"/>
      <c r="AD36" s="186"/>
      <c r="AE36" s="9"/>
    </row>
    <row r="37" spans="28:32" x14ac:dyDescent="0.2">
      <c r="AB37" s="186"/>
      <c r="AC37" s="9"/>
      <c r="AD37" s="186"/>
      <c r="AE37" s="9"/>
    </row>
    <row r="38" spans="28:32" x14ac:dyDescent="0.2">
      <c r="AB38" s="186"/>
      <c r="AC38" s="9"/>
      <c r="AD38" s="186"/>
      <c r="AE38" s="9"/>
    </row>
    <row r="39" spans="28:32" x14ac:dyDescent="0.2">
      <c r="AB39" s="186"/>
      <c r="AC39" s="9"/>
      <c r="AD39" s="186"/>
      <c r="AE39" s="9"/>
    </row>
    <row r="40" spans="28:32" ht="15" x14ac:dyDescent="0.25">
      <c r="AB40" s="186"/>
      <c r="AC40" s="9"/>
      <c r="AD40" s="186"/>
      <c r="AE40" s="9"/>
      <c r="AF40" s="6"/>
    </row>
    <row r="41" spans="28:32" ht="15" x14ac:dyDescent="0.25">
      <c r="AB41" s="184"/>
      <c r="AC41" s="185"/>
      <c r="AD41" s="186"/>
      <c r="AE41" s="9"/>
      <c r="AF41" s="4"/>
    </row>
    <row r="42" spans="28:32" x14ac:dyDescent="0.2">
      <c r="AB42" s="189"/>
      <c r="AC42" s="187"/>
      <c r="AD42" s="186"/>
      <c r="AE42" s="9"/>
    </row>
    <row r="43" spans="28:32" x14ac:dyDescent="0.2">
      <c r="AB43" s="186"/>
      <c r="AC43" s="9"/>
      <c r="AD43" s="186"/>
      <c r="AE43" s="9"/>
    </row>
    <row r="44" spans="28:32" x14ac:dyDescent="0.2">
      <c r="AB44" s="186"/>
      <c r="AC44" s="9"/>
      <c r="AD44" s="186"/>
      <c r="AE44" s="9"/>
    </row>
    <row r="45" spans="28:32" x14ac:dyDescent="0.2">
      <c r="AB45" s="186"/>
      <c r="AC45" s="9"/>
      <c r="AD45" s="186"/>
      <c r="AE45" s="9"/>
    </row>
    <row r="46" spans="28:32" x14ac:dyDescent="0.2">
      <c r="AB46" s="186"/>
      <c r="AC46" s="9"/>
      <c r="AD46" s="186"/>
      <c r="AE46" s="9"/>
    </row>
    <row r="47" spans="28:32" x14ac:dyDescent="0.2">
      <c r="AB47" s="186"/>
      <c r="AC47" s="9"/>
      <c r="AD47" s="186"/>
      <c r="AE47" s="9"/>
    </row>
    <row r="48" spans="28:32" x14ac:dyDescent="0.2">
      <c r="AB48" s="186"/>
      <c r="AC48" s="9"/>
      <c r="AD48" s="186"/>
      <c r="AE48" s="9"/>
    </row>
    <row r="49" spans="28:31" x14ac:dyDescent="0.2">
      <c r="AB49" s="186"/>
      <c r="AC49" s="9"/>
      <c r="AD49" s="186"/>
      <c r="AE49" s="9"/>
    </row>
    <row r="50" spans="28:31" x14ac:dyDescent="0.2">
      <c r="AB50" s="186"/>
      <c r="AC50" s="9"/>
      <c r="AD50" s="186"/>
      <c r="AE50" s="9"/>
    </row>
    <row r="51" spans="28:31" x14ac:dyDescent="0.2">
      <c r="AB51" s="186"/>
      <c r="AC51" s="9"/>
      <c r="AD51" s="186"/>
      <c r="AE51" s="9"/>
    </row>
    <row r="52" spans="28:31" x14ac:dyDescent="0.2">
      <c r="AB52" s="186"/>
      <c r="AC52" s="9"/>
      <c r="AD52" s="186"/>
      <c r="AE52" s="9"/>
    </row>
    <row r="183" spans="27:27" x14ac:dyDescent="0.2">
      <c r="AA183" s="49"/>
    </row>
    <row r="184" spans="27:27" x14ac:dyDescent="0.2">
      <c r="AA184" s="49"/>
    </row>
    <row r="193" spans="1:8" ht="15" x14ac:dyDescent="0.25">
      <c r="H193" s="6"/>
    </row>
    <row r="194" spans="1:8" ht="15" x14ac:dyDescent="0.25">
      <c r="G194" s="109"/>
      <c r="H194" s="6"/>
    </row>
    <row r="195" spans="1:8" ht="15" x14ac:dyDescent="0.25">
      <c r="G195" s="109"/>
      <c r="H195" s="6"/>
    </row>
    <row r="196" spans="1:8" ht="15" x14ac:dyDescent="0.25">
      <c r="G196" s="109"/>
      <c r="H196" s="6"/>
    </row>
    <row r="197" spans="1:8" ht="15" x14ac:dyDescent="0.25">
      <c r="G197" s="109"/>
      <c r="H197" s="6"/>
    </row>
    <row r="204" spans="1:8" ht="15" x14ac:dyDescent="0.25">
      <c r="A204" s="109"/>
      <c r="B204" s="109"/>
      <c r="C204" s="109"/>
      <c r="D204" s="49"/>
    </row>
    <row r="205" spans="1:8" ht="15" x14ac:dyDescent="0.25">
      <c r="A205" s="109"/>
      <c r="B205" s="109"/>
      <c r="C205" s="109"/>
      <c r="D205" s="49"/>
    </row>
    <row r="206" spans="1:8" ht="105" customHeight="1" x14ac:dyDescent="0.25">
      <c r="A206" s="109"/>
      <c r="B206" s="109"/>
      <c r="C206" s="109"/>
      <c r="D206" s="49"/>
      <c r="E206" s="49"/>
    </row>
    <row r="207" spans="1:8" ht="105" customHeight="1" x14ac:dyDescent="0.25">
      <c r="A207" s="109"/>
      <c r="B207" s="109"/>
      <c r="C207" s="109"/>
      <c r="D207" s="49"/>
      <c r="E207" s="49"/>
    </row>
    <row r="208" spans="1:8" ht="105" customHeight="1" x14ac:dyDescent="0.25">
      <c r="A208" s="109"/>
      <c r="B208" s="109"/>
      <c r="C208" s="109"/>
      <c r="D208" s="49"/>
      <c r="E208" s="49"/>
    </row>
    <row r="209" spans="1:5" ht="105" customHeight="1" x14ac:dyDescent="0.25">
      <c r="A209" s="109"/>
      <c r="B209" s="109"/>
      <c r="C209" s="109"/>
      <c r="D209" s="49"/>
      <c r="E209" s="49"/>
    </row>
    <row r="210" spans="1:5" ht="105" customHeight="1" x14ac:dyDescent="0.2">
      <c r="E210" s="49"/>
    </row>
    <row r="211" spans="1:5" ht="105" customHeight="1" x14ac:dyDescent="0.2">
      <c r="E211" s="49"/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auThau_In">
    <tabColor theme="8" tint="0.39997558519241921"/>
  </sheetPr>
  <dimension ref="A1:BR236"/>
  <sheetViews>
    <sheetView showGridLines="0" zoomScale="115" zoomScaleNormal="115" workbookViewId="0">
      <selection activeCell="B31" sqref="B31"/>
    </sheetView>
  </sheetViews>
  <sheetFormatPr defaultRowHeight="14.25" x14ac:dyDescent="0.2"/>
  <cols>
    <col min="1" max="1" width="18.125" style="39" customWidth="1"/>
    <col min="2" max="2" width="32.625" customWidth="1"/>
    <col min="3" max="3" width="6.75" customWidth="1"/>
    <col min="4" max="4" width="6.375" customWidth="1"/>
    <col min="5" max="5" width="7.875" customWidth="1"/>
    <col min="6" max="6" width="16.75" customWidth="1"/>
    <col min="7" max="7" width="15.625" customWidth="1"/>
    <col min="8" max="8" width="13.375" customWidth="1"/>
    <col min="9" max="9" width="14.375" customWidth="1"/>
    <col min="10" max="10" width="9.125" customWidth="1"/>
    <col min="11" max="17" width="9.25" customWidth="1"/>
    <col min="18" max="18" width="7.375" customWidth="1"/>
    <col min="19" max="19" width="4.75" customWidth="1"/>
    <col min="20" max="20" width="6.375" customWidth="1"/>
    <col min="21" max="21" width="25.875" customWidth="1"/>
    <col min="22" max="22" width="14.625" customWidth="1"/>
    <col min="23" max="24" width="14.25" customWidth="1"/>
    <col min="25" max="25" width="4.125" customWidth="1"/>
    <col min="26" max="26" width="5.125" customWidth="1"/>
    <col min="27" max="27" width="7.125" customWidth="1"/>
    <col min="28" max="28" width="13.375" customWidth="1"/>
    <col min="29" max="29" width="11.875" customWidth="1"/>
    <col min="30" max="30" width="12.375" customWidth="1"/>
    <col min="32" max="32" width="14.375" bestFit="1" customWidth="1"/>
    <col min="34" max="34" width="7.875" customWidth="1"/>
    <col min="35" max="35" width="22.75" customWidth="1"/>
    <col min="36" max="36" width="13.875" customWidth="1"/>
    <col min="37" max="37" width="20" customWidth="1"/>
    <col min="38" max="38" width="15.125" customWidth="1"/>
    <col min="39" max="39" width="7.125" customWidth="1"/>
    <col min="40" max="40" width="9" customWidth="1"/>
    <col min="41" max="41" width="14.625" customWidth="1"/>
    <col min="42" max="42" width="15.625" customWidth="1"/>
    <col min="43" max="43" width="12.25" customWidth="1"/>
    <col min="44" max="44" width="5.875" customWidth="1"/>
    <col min="47" max="47" width="9.875" customWidth="1"/>
    <col min="50" max="50" width="6.625" customWidth="1"/>
    <col min="51" max="51" width="5.75" customWidth="1"/>
  </cols>
  <sheetData>
    <row r="1" spans="1:70" ht="15" x14ac:dyDescent="0.25">
      <c r="A1" s="146" t="s">
        <v>1626</v>
      </c>
      <c r="B1" s="147" t="s">
        <v>4062</v>
      </c>
      <c r="D1" s="68" t="s">
        <v>411</v>
      </c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T1" s="68"/>
      <c r="U1" s="68"/>
      <c r="V1" s="68"/>
      <c r="W1" s="68"/>
      <c r="X1" s="68"/>
      <c r="Z1" s="69"/>
      <c r="AA1" s="111" t="s">
        <v>415</v>
      </c>
      <c r="AB1" s="68"/>
      <c r="AC1" s="69"/>
      <c r="AD1" s="69"/>
      <c r="AE1" s="69"/>
      <c r="AF1" s="69"/>
      <c r="AG1" s="69"/>
      <c r="AI1" s="69"/>
      <c r="AJ1" s="69"/>
      <c r="AN1" s="6" t="s">
        <v>1613</v>
      </c>
      <c r="BA1" s="68" t="s">
        <v>509</v>
      </c>
      <c r="BB1" s="68"/>
      <c r="BC1" s="68"/>
      <c r="BD1" s="69"/>
      <c r="BE1" s="69"/>
      <c r="BF1" s="69"/>
      <c r="BG1" s="69"/>
      <c r="BH1" s="69"/>
      <c r="BI1" s="69"/>
      <c r="BJ1" s="69"/>
    </row>
    <row r="3" spans="1:70" ht="73.900000000000006" customHeight="1" x14ac:dyDescent="0.2">
      <c r="A3" s="113" t="s">
        <v>73</v>
      </c>
      <c r="B3" s="113" t="s">
        <v>1584</v>
      </c>
      <c r="D3" s="150" t="s">
        <v>388</v>
      </c>
      <c r="E3" s="150" t="s">
        <v>1551</v>
      </c>
      <c r="F3" s="150" t="s">
        <v>396</v>
      </c>
      <c r="G3" s="150" t="s">
        <v>387</v>
      </c>
      <c r="H3" s="150" t="s">
        <v>495</v>
      </c>
      <c r="I3" s="150" t="s">
        <v>395</v>
      </c>
      <c r="J3" s="150" t="s">
        <v>389</v>
      </c>
      <c r="K3" s="150" t="s">
        <v>390</v>
      </c>
      <c r="L3" s="150" t="s">
        <v>391</v>
      </c>
      <c r="M3" s="150" t="s">
        <v>480</v>
      </c>
      <c r="N3" s="150" t="s">
        <v>392</v>
      </c>
      <c r="O3" s="150" t="s">
        <v>393</v>
      </c>
      <c r="P3" s="150" t="s">
        <v>1566</v>
      </c>
      <c r="Q3" s="150" t="s">
        <v>496</v>
      </c>
      <c r="R3" s="150" t="s">
        <v>394</v>
      </c>
      <c r="S3" s="121"/>
      <c r="T3" s="150" t="s">
        <v>62</v>
      </c>
      <c r="U3" s="150" t="s">
        <v>413</v>
      </c>
      <c r="V3" s="150" t="s">
        <v>414</v>
      </c>
      <c r="W3" s="150" t="s">
        <v>1563</v>
      </c>
      <c r="X3" s="150" t="s">
        <v>1565</v>
      </c>
      <c r="Y3" s="112"/>
      <c r="Z3" s="112"/>
      <c r="AA3" s="150" t="s">
        <v>62</v>
      </c>
      <c r="AB3" s="150" t="s">
        <v>1574</v>
      </c>
      <c r="AC3" s="150" t="s">
        <v>1575</v>
      </c>
      <c r="AD3" s="150" t="s">
        <v>1576</v>
      </c>
      <c r="AE3" s="150" t="s">
        <v>1577</v>
      </c>
      <c r="AF3" s="150" t="s">
        <v>1583</v>
      </c>
      <c r="AG3" s="150" t="s">
        <v>1578</v>
      </c>
      <c r="AH3" s="150" t="s">
        <v>1579</v>
      </c>
      <c r="AI3" s="150" t="s">
        <v>1580</v>
      </c>
      <c r="AJ3" s="150" t="s">
        <v>1581</v>
      </c>
      <c r="AK3" s="150" t="s">
        <v>1582</v>
      </c>
      <c r="AL3" s="190"/>
      <c r="AM3" s="121"/>
      <c r="AN3" s="150" t="s">
        <v>388</v>
      </c>
      <c r="AO3" s="150" t="s">
        <v>1574</v>
      </c>
      <c r="AP3" s="150" t="s">
        <v>1612</v>
      </c>
      <c r="AQ3" s="121"/>
      <c r="AR3" s="121"/>
      <c r="AS3" s="121"/>
      <c r="AT3" s="121"/>
      <c r="AU3" s="121"/>
      <c r="AV3" s="121"/>
      <c r="AW3" s="121"/>
      <c r="AX3" s="121"/>
      <c r="AY3" s="121"/>
      <c r="AZ3" s="148"/>
      <c r="BA3" s="199" t="s">
        <v>388</v>
      </c>
      <c r="BB3" s="199" t="s">
        <v>1525</v>
      </c>
      <c r="BC3" s="199" t="s">
        <v>1526</v>
      </c>
      <c r="BD3" s="199" t="s">
        <v>45</v>
      </c>
      <c r="BE3" s="199" t="s">
        <v>1527</v>
      </c>
      <c r="BF3" s="199" t="s">
        <v>1528</v>
      </c>
      <c r="BG3" s="199" t="s">
        <v>1529</v>
      </c>
      <c r="BH3" s="199" t="s">
        <v>1530</v>
      </c>
      <c r="BI3" s="199" t="s">
        <v>1531</v>
      </c>
      <c r="BJ3" s="199" t="s">
        <v>44</v>
      </c>
      <c r="BK3" s="199" t="s">
        <v>1532</v>
      </c>
      <c r="BL3" s="199" t="s">
        <v>1533</v>
      </c>
      <c r="BM3" s="199" t="s">
        <v>1534</v>
      </c>
      <c r="BN3" s="199" t="s">
        <v>1535</v>
      </c>
      <c r="BO3" s="199" t="s">
        <v>1536</v>
      </c>
      <c r="BP3" s="199" t="s">
        <v>1537</v>
      </c>
      <c r="BQ3" s="200" t="s">
        <v>3772</v>
      </c>
      <c r="BR3" s="200" t="s">
        <v>4051</v>
      </c>
    </row>
    <row r="4" spans="1:70" x14ac:dyDescent="0.2">
      <c r="A4" s="114" t="s">
        <v>477</v>
      </c>
      <c r="B4" s="9" t="s">
        <v>3913</v>
      </c>
      <c r="D4" s="9">
        <v>1</v>
      </c>
      <c r="E4" s="9" t="s">
        <v>3754</v>
      </c>
      <c r="F4" s="9" t="s">
        <v>3926</v>
      </c>
      <c r="G4" s="9" t="s">
        <v>3927</v>
      </c>
      <c r="H4" s="9" t="s">
        <v>3928</v>
      </c>
      <c r="I4" s="191">
        <v>98000000</v>
      </c>
      <c r="J4" s="9" t="s">
        <v>3770</v>
      </c>
      <c r="K4" s="9" t="s">
        <v>3929</v>
      </c>
      <c r="L4" s="9" t="s">
        <v>3930</v>
      </c>
      <c r="M4" s="9">
        <v>15</v>
      </c>
      <c r="N4" s="9" t="s">
        <v>3755</v>
      </c>
      <c r="O4" s="9" t="s">
        <v>3756</v>
      </c>
      <c r="P4" s="9" t="s">
        <v>3757</v>
      </c>
      <c r="Q4" s="9" t="s">
        <v>3758</v>
      </c>
      <c r="R4" s="9" t="s">
        <v>226</v>
      </c>
      <c r="T4">
        <v>1</v>
      </c>
      <c r="U4" t="s">
        <v>3924</v>
      </c>
      <c r="V4" t="s">
        <v>508</v>
      </c>
      <c r="W4" s="49">
        <v>402120000</v>
      </c>
      <c r="X4" t="s">
        <v>3925</v>
      </c>
      <c r="AA4" s="9">
        <v>2</v>
      </c>
      <c r="AB4" s="9" t="s">
        <v>242</v>
      </c>
      <c r="AC4" s="9" t="s">
        <v>3954</v>
      </c>
      <c r="AD4" s="9" t="s">
        <v>3954</v>
      </c>
      <c r="AE4" s="9" t="s">
        <v>3954</v>
      </c>
      <c r="AF4" s="9" t="s">
        <v>3955</v>
      </c>
      <c r="AG4" s="9">
        <v>0</v>
      </c>
      <c r="AH4" s="9">
        <v>0</v>
      </c>
      <c r="AI4" s="9" t="s">
        <v>3955</v>
      </c>
      <c r="AJ4" s="9">
        <v>0</v>
      </c>
      <c r="AK4" s="9" t="s">
        <v>3955</v>
      </c>
      <c r="AL4" s="9" t="s">
        <v>226</v>
      </c>
      <c r="AN4" s="9">
        <v>1</v>
      </c>
      <c r="AO4" s="9" t="s">
        <v>242</v>
      </c>
      <c r="AP4" s="9" t="s">
        <v>3981</v>
      </c>
    </row>
    <row r="5" spans="1:70" ht="24" customHeight="1" x14ac:dyDescent="0.2">
      <c r="A5" s="115" t="s">
        <v>478</v>
      </c>
      <c r="B5" s="9" t="s">
        <v>3914</v>
      </c>
      <c r="D5" s="9">
        <v>2</v>
      </c>
      <c r="E5" s="9" t="s">
        <v>3754</v>
      </c>
      <c r="F5" s="9" t="s">
        <v>3932</v>
      </c>
      <c r="G5" s="9" t="s">
        <v>3771</v>
      </c>
      <c r="H5" s="9" t="s">
        <v>3933</v>
      </c>
      <c r="I5" s="191">
        <v>120000000</v>
      </c>
      <c r="J5" s="9" t="s">
        <v>3770</v>
      </c>
      <c r="K5" s="9" t="s">
        <v>3934</v>
      </c>
      <c r="L5" s="9" t="s">
        <v>3768</v>
      </c>
      <c r="M5" s="9">
        <v>30</v>
      </c>
      <c r="N5" s="9" t="s">
        <v>3755</v>
      </c>
      <c r="O5" s="9" t="s">
        <v>3756</v>
      </c>
      <c r="P5" s="9" t="s">
        <v>3935</v>
      </c>
      <c r="Q5" s="9" t="s">
        <v>3758</v>
      </c>
      <c r="R5" s="9" t="s">
        <v>226</v>
      </c>
      <c r="AA5" s="9">
        <v>1</v>
      </c>
      <c r="AB5" s="9" t="s">
        <v>266</v>
      </c>
      <c r="AC5" s="9" t="s">
        <v>3954</v>
      </c>
      <c r="AD5" s="9" t="s">
        <v>3954</v>
      </c>
      <c r="AE5" s="9" t="s">
        <v>3954</v>
      </c>
      <c r="AF5" s="9" t="s">
        <v>3931</v>
      </c>
      <c r="AG5" s="9">
        <v>0</v>
      </c>
      <c r="AH5" s="9">
        <v>0</v>
      </c>
      <c r="AI5" s="9" t="s">
        <v>3931</v>
      </c>
      <c r="AJ5" s="9">
        <v>0</v>
      </c>
      <c r="AK5" s="9" t="s">
        <v>3931</v>
      </c>
      <c r="AL5" s="9" t="s">
        <v>226</v>
      </c>
    </row>
    <row r="6" spans="1:70" x14ac:dyDescent="0.2">
      <c r="A6" s="115" t="s">
        <v>476</v>
      </c>
      <c r="B6" s="9" t="s">
        <v>3915</v>
      </c>
    </row>
    <row r="7" spans="1:70" ht="14.25" customHeight="1" x14ac:dyDescent="0.2">
      <c r="A7" s="115" t="s">
        <v>1549</v>
      </c>
      <c r="B7" s="9" t="s">
        <v>3754</v>
      </c>
    </row>
    <row r="8" spans="1:70" ht="28.5" customHeight="1" x14ac:dyDescent="0.2">
      <c r="A8" s="115" t="s">
        <v>471</v>
      </c>
      <c r="B8" s="9" t="s">
        <v>68</v>
      </c>
    </row>
    <row r="9" spans="1:70" ht="28.5" customHeight="1" x14ac:dyDescent="0.2">
      <c r="A9" s="115" t="s">
        <v>434</v>
      </c>
      <c r="B9" s="9" t="s">
        <v>220</v>
      </c>
    </row>
    <row r="10" spans="1:70" x14ac:dyDescent="0.2">
      <c r="A10" s="115" t="s">
        <v>1586</v>
      </c>
      <c r="B10" s="9" t="s">
        <v>3762</v>
      </c>
    </row>
    <row r="11" spans="1:70" x14ac:dyDescent="0.2">
      <c r="A11" s="115" t="s">
        <v>1585</v>
      </c>
      <c r="B11" s="9" t="s">
        <v>1618</v>
      </c>
    </row>
    <row r="12" spans="1:70" x14ac:dyDescent="0.2">
      <c r="A12" s="115" t="s">
        <v>1592</v>
      </c>
      <c r="B12" s="9" t="s">
        <v>3763</v>
      </c>
    </row>
    <row r="13" spans="1:70" x14ac:dyDescent="0.2">
      <c r="A13" s="115" t="s">
        <v>1591</v>
      </c>
      <c r="B13" s="9" t="s">
        <v>3764</v>
      </c>
    </row>
    <row r="14" spans="1:70" x14ac:dyDescent="0.2">
      <c r="A14" s="115" t="s">
        <v>435</v>
      </c>
      <c r="B14" s="9" t="s">
        <v>3770</v>
      </c>
    </row>
    <row r="15" spans="1:70" x14ac:dyDescent="0.2">
      <c r="A15" s="115" t="s">
        <v>479</v>
      </c>
      <c r="B15" s="9" t="s">
        <v>3916</v>
      </c>
    </row>
    <row r="16" spans="1:70" x14ac:dyDescent="0.2">
      <c r="A16" s="115" t="s">
        <v>436</v>
      </c>
      <c r="B16" s="9" t="s">
        <v>3917</v>
      </c>
    </row>
    <row r="17" spans="1:2" x14ac:dyDescent="0.2">
      <c r="A17" s="115" t="s">
        <v>473</v>
      </c>
      <c r="B17" s="9" t="s">
        <v>3918</v>
      </c>
    </row>
    <row r="18" spans="1:2" x14ac:dyDescent="0.2">
      <c r="A18" s="115" t="s">
        <v>510</v>
      </c>
      <c r="B18" s="9" t="s">
        <v>3919</v>
      </c>
    </row>
    <row r="19" spans="1:2" x14ac:dyDescent="0.2">
      <c r="A19" s="115" t="s">
        <v>3773</v>
      </c>
      <c r="B19" s="9" t="s">
        <v>195</v>
      </c>
    </row>
    <row r="20" spans="1:2" x14ac:dyDescent="0.2">
      <c r="A20" s="115" t="s">
        <v>511</v>
      </c>
      <c r="B20" s="9" t="s">
        <v>3920</v>
      </c>
    </row>
    <row r="21" spans="1:2" x14ac:dyDescent="0.2">
      <c r="A21" s="115" t="s">
        <v>437</v>
      </c>
      <c r="B21" s="9" t="s">
        <v>3921</v>
      </c>
    </row>
    <row r="22" spans="1:2" ht="12.75" customHeight="1" x14ac:dyDescent="0.2">
      <c r="A22" s="115" t="s">
        <v>438</v>
      </c>
      <c r="B22" s="9" t="s">
        <v>3922</v>
      </c>
    </row>
    <row r="23" spans="1:2" x14ac:dyDescent="0.2">
      <c r="A23" s="114" t="s">
        <v>1619</v>
      </c>
      <c r="B23" s="9" t="s">
        <v>230</v>
      </c>
    </row>
    <row r="24" spans="1:2" x14ac:dyDescent="0.2">
      <c r="A24" s="115" t="s">
        <v>439</v>
      </c>
      <c r="B24" s="9" t="s">
        <v>3923</v>
      </c>
    </row>
    <row r="25" spans="1:2" x14ac:dyDescent="0.2">
      <c r="A25" s="115" t="s">
        <v>440</v>
      </c>
      <c r="B25" s="173">
        <v>45454</v>
      </c>
    </row>
    <row r="26" spans="1:2" x14ac:dyDescent="0.2">
      <c r="A26" s="183" t="s">
        <v>4012</v>
      </c>
      <c r="B26" s="9"/>
    </row>
    <row r="27" spans="1:2" x14ac:dyDescent="0.2">
      <c r="A27" s="115" t="s">
        <v>441</v>
      </c>
      <c r="B27" s="9" t="s">
        <v>508</v>
      </c>
    </row>
    <row r="28" spans="1:2" x14ac:dyDescent="0.2">
      <c r="A28" s="115" t="s">
        <v>3963</v>
      </c>
      <c r="B28" s="9"/>
    </row>
    <row r="29" spans="1:2" x14ac:dyDescent="0.2">
      <c r="A29" s="116" t="s">
        <v>417</v>
      </c>
      <c r="B29" s="9" t="s">
        <v>196</v>
      </c>
    </row>
    <row r="30" spans="1:2" x14ac:dyDescent="0.2">
      <c r="A30" s="116" t="s">
        <v>416</v>
      </c>
      <c r="B30" s="9" t="s">
        <v>70</v>
      </c>
    </row>
    <row r="31" spans="1:2" x14ac:dyDescent="0.2">
      <c r="A31" s="116" t="s">
        <v>418</v>
      </c>
      <c r="B31" s="9" t="s">
        <v>3936</v>
      </c>
    </row>
    <row r="32" spans="1:2" x14ac:dyDescent="0.2">
      <c r="A32" s="116" t="s">
        <v>474</v>
      </c>
      <c r="B32" s="9" t="s">
        <v>3937</v>
      </c>
    </row>
    <row r="33" spans="1:2" x14ac:dyDescent="0.2">
      <c r="A33" s="179" t="s">
        <v>419</v>
      </c>
      <c r="B33" s="178" t="s">
        <v>4060</v>
      </c>
    </row>
    <row r="34" spans="1:2" ht="15.6" customHeight="1" x14ac:dyDescent="0.2">
      <c r="A34" s="179" t="s">
        <v>475</v>
      </c>
      <c r="B34" s="178" t="s">
        <v>4061</v>
      </c>
    </row>
    <row r="35" spans="1:2" x14ac:dyDescent="0.2">
      <c r="A35" s="115" t="s">
        <v>420</v>
      </c>
      <c r="B35" s="9">
        <v>2</v>
      </c>
    </row>
    <row r="36" spans="1:2" x14ac:dyDescent="0.2">
      <c r="A36" s="117" t="s">
        <v>427</v>
      </c>
      <c r="B36" s="173">
        <v>45444</v>
      </c>
    </row>
    <row r="37" spans="1:2" x14ac:dyDescent="0.2">
      <c r="A37" s="118" t="s">
        <v>428</v>
      </c>
      <c r="B37" s="9" t="s">
        <v>3938</v>
      </c>
    </row>
    <row r="38" spans="1:2" x14ac:dyDescent="0.2">
      <c r="A38" s="116" t="s">
        <v>429</v>
      </c>
      <c r="B38" s="173">
        <v>45445</v>
      </c>
    </row>
    <row r="39" spans="1:2" x14ac:dyDescent="0.2">
      <c r="A39" s="116" t="s">
        <v>430</v>
      </c>
      <c r="B39" s="9" t="s">
        <v>3939</v>
      </c>
    </row>
    <row r="40" spans="1:2" x14ac:dyDescent="0.2">
      <c r="A40" s="116" t="s">
        <v>107</v>
      </c>
      <c r="B40" s="9" t="s">
        <v>3940</v>
      </c>
    </row>
    <row r="41" spans="1:2" x14ac:dyDescent="0.2">
      <c r="A41" s="116" t="s">
        <v>431</v>
      </c>
      <c r="B41" s="173">
        <v>45446</v>
      </c>
    </row>
    <row r="42" spans="1:2" x14ac:dyDescent="0.2">
      <c r="A42" s="116" t="s">
        <v>432</v>
      </c>
      <c r="B42" s="9" t="s">
        <v>3941</v>
      </c>
    </row>
    <row r="43" spans="1:2" x14ac:dyDescent="0.2">
      <c r="A43" s="116" t="s">
        <v>108</v>
      </c>
      <c r="B43" s="9" t="s">
        <v>3942</v>
      </c>
    </row>
    <row r="44" spans="1:2" x14ac:dyDescent="0.2">
      <c r="A44" s="116" t="s">
        <v>433</v>
      </c>
      <c r="B44" s="173">
        <v>45447</v>
      </c>
    </row>
    <row r="45" spans="1:2" x14ac:dyDescent="0.2">
      <c r="A45" s="119" t="s">
        <v>1594</v>
      </c>
      <c r="B45" s="9" t="s">
        <v>318</v>
      </c>
    </row>
    <row r="46" spans="1:2" x14ac:dyDescent="0.2">
      <c r="A46" s="116" t="s">
        <v>109</v>
      </c>
      <c r="B46" s="9" t="s">
        <v>3943</v>
      </c>
    </row>
    <row r="47" spans="1:2" x14ac:dyDescent="0.2">
      <c r="A47" s="116" t="s">
        <v>110</v>
      </c>
      <c r="B47" s="173">
        <v>45448</v>
      </c>
    </row>
    <row r="48" spans="1:2" x14ac:dyDescent="0.2">
      <c r="A48" s="116" t="s">
        <v>74</v>
      </c>
      <c r="B48" s="9" t="s">
        <v>3944</v>
      </c>
    </row>
    <row r="49" spans="1:2" x14ac:dyDescent="0.2">
      <c r="A49" s="116" t="s">
        <v>75</v>
      </c>
      <c r="B49" s="173">
        <v>45449</v>
      </c>
    </row>
    <row r="50" spans="1:2" ht="15.75" customHeight="1" x14ac:dyDescent="0.2">
      <c r="A50" s="116" t="s">
        <v>76</v>
      </c>
      <c r="B50" s="9" t="s">
        <v>3945</v>
      </c>
    </row>
    <row r="51" spans="1:2" x14ac:dyDescent="0.2">
      <c r="A51" s="116" t="s">
        <v>101</v>
      </c>
      <c r="B51" s="9" t="s">
        <v>70</v>
      </c>
    </row>
    <row r="52" spans="1:2" x14ac:dyDescent="0.2">
      <c r="A52" s="116" t="s">
        <v>102</v>
      </c>
      <c r="B52" s="9" t="s">
        <v>201</v>
      </c>
    </row>
    <row r="53" spans="1:2" x14ac:dyDescent="0.2">
      <c r="A53" s="116" t="s">
        <v>103</v>
      </c>
      <c r="B53" s="9" t="s">
        <v>220</v>
      </c>
    </row>
    <row r="54" spans="1:2" x14ac:dyDescent="0.2">
      <c r="A54" s="116" t="s">
        <v>77</v>
      </c>
      <c r="B54" s="9" t="s">
        <v>3946</v>
      </c>
    </row>
    <row r="55" spans="1:2" x14ac:dyDescent="0.2">
      <c r="A55" s="116" t="s">
        <v>78</v>
      </c>
      <c r="B55" s="173">
        <v>45450</v>
      </c>
    </row>
    <row r="56" spans="1:2" x14ac:dyDescent="0.2">
      <c r="A56" s="116" t="s">
        <v>79</v>
      </c>
      <c r="B56" s="9" t="s">
        <v>3947</v>
      </c>
    </row>
    <row r="57" spans="1:2" x14ac:dyDescent="0.2">
      <c r="A57" s="118" t="s">
        <v>80</v>
      </c>
      <c r="B57" s="9" t="s">
        <v>500</v>
      </c>
    </row>
    <row r="58" spans="1:2" x14ac:dyDescent="0.2">
      <c r="A58" s="118" t="s">
        <v>81</v>
      </c>
      <c r="B58" s="9" t="s">
        <v>227</v>
      </c>
    </row>
    <row r="59" spans="1:2" x14ac:dyDescent="0.2">
      <c r="A59" s="118" t="s">
        <v>82</v>
      </c>
      <c r="B59" s="9" t="s">
        <v>198</v>
      </c>
    </row>
    <row r="60" spans="1:2" x14ac:dyDescent="0.2">
      <c r="A60" s="119" t="s">
        <v>1593</v>
      </c>
      <c r="B60" s="9" t="s">
        <v>3765</v>
      </c>
    </row>
    <row r="61" spans="1:2" x14ac:dyDescent="0.2">
      <c r="A61" s="116" t="s">
        <v>92</v>
      </c>
      <c r="B61" s="9"/>
    </row>
    <row r="62" spans="1:2" x14ac:dyDescent="0.2">
      <c r="A62" s="116" t="s">
        <v>93</v>
      </c>
      <c r="B62" s="9"/>
    </row>
    <row r="63" spans="1:2" x14ac:dyDescent="0.2">
      <c r="A63" s="116" t="s">
        <v>94</v>
      </c>
      <c r="B63" s="9"/>
    </row>
    <row r="64" spans="1:2" x14ac:dyDescent="0.2">
      <c r="A64" s="118" t="s">
        <v>86</v>
      </c>
      <c r="B64" s="9"/>
    </row>
    <row r="65" spans="1:2" x14ac:dyDescent="0.2">
      <c r="A65" s="118" t="s">
        <v>87</v>
      </c>
      <c r="B65" s="9"/>
    </row>
    <row r="66" spans="1:2" x14ac:dyDescent="0.2">
      <c r="A66" s="118" t="s">
        <v>88</v>
      </c>
      <c r="B66" s="9"/>
    </row>
    <row r="67" spans="1:2" x14ac:dyDescent="0.2">
      <c r="A67" s="118" t="s">
        <v>89</v>
      </c>
      <c r="B67" s="9"/>
    </row>
    <row r="68" spans="1:2" x14ac:dyDescent="0.2">
      <c r="A68" s="118" t="s">
        <v>90</v>
      </c>
      <c r="B68" s="9"/>
    </row>
    <row r="69" spans="1:2" x14ac:dyDescent="0.2">
      <c r="A69" s="118" t="s">
        <v>91</v>
      </c>
      <c r="B69" s="9"/>
    </row>
    <row r="70" spans="1:2" x14ac:dyDescent="0.2">
      <c r="A70" s="118" t="s">
        <v>336</v>
      </c>
      <c r="B70" s="9"/>
    </row>
    <row r="71" spans="1:2" x14ac:dyDescent="0.2">
      <c r="A71" s="118" t="s">
        <v>337</v>
      </c>
      <c r="B71" s="9"/>
    </row>
    <row r="72" spans="1:2" x14ac:dyDescent="0.2">
      <c r="A72" s="118" t="s">
        <v>338</v>
      </c>
      <c r="B72" s="9"/>
    </row>
    <row r="73" spans="1:2" x14ac:dyDescent="0.2">
      <c r="A73" s="118" t="s">
        <v>1599</v>
      </c>
      <c r="B73" s="9"/>
    </row>
    <row r="74" spans="1:2" x14ac:dyDescent="0.2">
      <c r="A74" s="118" t="s">
        <v>1600</v>
      </c>
      <c r="B74" s="9"/>
    </row>
    <row r="75" spans="1:2" x14ac:dyDescent="0.2">
      <c r="A75" s="118" t="s">
        <v>1601</v>
      </c>
      <c r="B75" s="9"/>
    </row>
    <row r="76" spans="1:2" x14ac:dyDescent="0.2">
      <c r="A76" s="118" t="s">
        <v>1614</v>
      </c>
      <c r="B76" s="9"/>
    </row>
    <row r="77" spans="1:2" x14ac:dyDescent="0.2">
      <c r="A77" s="118" t="s">
        <v>1615</v>
      </c>
      <c r="B77" s="9"/>
    </row>
    <row r="78" spans="1:2" x14ac:dyDescent="0.2">
      <c r="A78" s="118" t="s">
        <v>1616</v>
      </c>
      <c r="B78" s="9"/>
    </row>
    <row r="79" spans="1:2" x14ac:dyDescent="0.2">
      <c r="A79" s="118" t="s">
        <v>98</v>
      </c>
      <c r="B79" s="9"/>
    </row>
    <row r="80" spans="1:2" x14ac:dyDescent="0.2">
      <c r="A80" s="118" t="s">
        <v>99</v>
      </c>
      <c r="B80" s="9"/>
    </row>
    <row r="81" spans="1:3" x14ac:dyDescent="0.2">
      <c r="A81" s="118" t="s">
        <v>100</v>
      </c>
      <c r="B81" s="9"/>
    </row>
    <row r="82" spans="1:3" x14ac:dyDescent="0.2">
      <c r="A82" s="116" t="s">
        <v>95</v>
      </c>
      <c r="B82" s="9"/>
    </row>
    <row r="83" spans="1:3" x14ac:dyDescent="0.2">
      <c r="A83" s="116" t="s">
        <v>96</v>
      </c>
      <c r="B83" s="9"/>
    </row>
    <row r="84" spans="1:3" x14ac:dyDescent="0.2">
      <c r="A84" s="116" t="s">
        <v>97</v>
      </c>
      <c r="B84" s="9"/>
    </row>
    <row r="85" spans="1:3" x14ac:dyDescent="0.2">
      <c r="A85" s="116" t="s">
        <v>1602</v>
      </c>
      <c r="B85" s="9"/>
    </row>
    <row r="86" spans="1:3" x14ac:dyDescent="0.2">
      <c r="A86" s="116" t="s">
        <v>1603</v>
      </c>
      <c r="B86" s="9"/>
    </row>
    <row r="87" spans="1:3" x14ac:dyDescent="0.2">
      <c r="A87" s="116" t="s">
        <v>1604</v>
      </c>
      <c r="B87" s="9"/>
    </row>
    <row r="88" spans="1:3" x14ac:dyDescent="0.2">
      <c r="A88" s="116" t="s">
        <v>104</v>
      </c>
      <c r="B88" s="9"/>
    </row>
    <row r="89" spans="1:3" x14ac:dyDescent="0.2">
      <c r="A89" s="116" t="s">
        <v>105</v>
      </c>
      <c r="B89" s="9"/>
    </row>
    <row r="90" spans="1:3" x14ac:dyDescent="0.2">
      <c r="A90" s="116" t="s">
        <v>106</v>
      </c>
      <c r="B90" s="9"/>
    </row>
    <row r="91" spans="1:3" x14ac:dyDescent="0.2">
      <c r="A91" s="116" t="s">
        <v>83</v>
      </c>
      <c r="B91" s="9"/>
    </row>
    <row r="92" spans="1:3" x14ac:dyDescent="0.2">
      <c r="A92" s="116" t="s">
        <v>84</v>
      </c>
      <c r="B92" s="9"/>
    </row>
    <row r="93" spans="1:3" x14ac:dyDescent="0.2">
      <c r="A93" s="116" t="s">
        <v>85</v>
      </c>
      <c r="B93" s="9"/>
    </row>
    <row r="94" spans="1:3" x14ac:dyDescent="0.2">
      <c r="A94" s="119" t="s">
        <v>421</v>
      </c>
      <c r="B94" s="9" t="s">
        <v>3771</v>
      </c>
    </row>
    <row r="95" spans="1:3" x14ac:dyDescent="0.2">
      <c r="A95" s="115" t="s">
        <v>422</v>
      </c>
      <c r="B95" s="9" t="s">
        <v>3932</v>
      </c>
      <c r="C95">
        <v>1</v>
      </c>
    </row>
    <row r="96" spans="1:3" x14ac:dyDescent="0.2">
      <c r="A96" s="116" t="s">
        <v>423</v>
      </c>
      <c r="B96" s="9" t="s">
        <v>3934</v>
      </c>
      <c r="C96">
        <v>2</v>
      </c>
    </row>
    <row r="97" spans="1:3" x14ac:dyDescent="0.2">
      <c r="A97" s="116" t="s">
        <v>424</v>
      </c>
      <c r="B97" s="9" t="s">
        <v>3768</v>
      </c>
      <c r="C97">
        <v>3</v>
      </c>
    </row>
    <row r="98" spans="1:3" x14ac:dyDescent="0.2">
      <c r="A98" s="116" t="s">
        <v>425</v>
      </c>
      <c r="B98" s="178" t="s">
        <v>4063</v>
      </c>
      <c r="C98">
        <v>4</v>
      </c>
    </row>
    <row r="99" spans="1:3" x14ac:dyDescent="0.2">
      <c r="A99" s="116" t="s">
        <v>426</v>
      </c>
      <c r="B99" s="9" t="s">
        <v>4064</v>
      </c>
      <c r="C99">
        <v>5</v>
      </c>
    </row>
    <row r="100" spans="1:3" x14ac:dyDescent="0.2">
      <c r="A100" s="116" t="s">
        <v>483</v>
      </c>
      <c r="B100" s="9">
        <v>30</v>
      </c>
      <c r="C100">
        <v>6</v>
      </c>
    </row>
    <row r="101" spans="1:3" x14ac:dyDescent="0.2">
      <c r="A101" s="116" t="s">
        <v>484</v>
      </c>
      <c r="B101" s="9" t="s">
        <v>3755</v>
      </c>
      <c r="C101">
        <v>7</v>
      </c>
    </row>
    <row r="102" spans="1:3" x14ac:dyDescent="0.2">
      <c r="A102" s="116" t="s">
        <v>485</v>
      </c>
      <c r="B102" s="9" t="s">
        <v>3756</v>
      </c>
      <c r="C102">
        <v>8</v>
      </c>
    </row>
    <row r="103" spans="1:3" x14ac:dyDescent="0.2">
      <c r="A103" s="116" t="s">
        <v>1621</v>
      </c>
      <c r="B103" s="9" t="s">
        <v>3935</v>
      </c>
      <c r="C103">
        <v>9</v>
      </c>
    </row>
    <row r="104" spans="1:3" x14ac:dyDescent="0.2">
      <c r="A104" s="116" t="s">
        <v>486</v>
      </c>
      <c r="B104" s="9" t="s">
        <v>226</v>
      </c>
      <c r="C104">
        <v>10</v>
      </c>
    </row>
    <row r="105" spans="1:3" x14ac:dyDescent="0.2">
      <c r="A105" s="116" t="s">
        <v>1550</v>
      </c>
      <c r="B105" s="9" t="s">
        <v>3758</v>
      </c>
      <c r="C105">
        <v>11</v>
      </c>
    </row>
    <row r="106" spans="1:3" x14ac:dyDescent="0.2">
      <c r="A106" s="119" t="s">
        <v>114</v>
      </c>
      <c r="B106" s="173">
        <v>45450</v>
      </c>
    </row>
    <row r="107" spans="1:3" x14ac:dyDescent="0.2">
      <c r="A107" s="116" t="s">
        <v>115</v>
      </c>
      <c r="B107" s="9" t="s">
        <v>3947</v>
      </c>
    </row>
    <row r="108" spans="1:3" x14ac:dyDescent="0.2">
      <c r="A108" s="116" t="s">
        <v>129</v>
      </c>
      <c r="B108" s="173">
        <v>45454</v>
      </c>
    </row>
    <row r="109" spans="1:3" x14ac:dyDescent="0.2">
      <c r="A109" s="116" t="s">
        <v>130</v>
      </c>
      <c r="B109" s="9" t="s">
        <v>3948</v>
      </c>
    </row>
    <row r="110" spans="1:3" x14ac:dyDescent="0.2">
      <c r="A110" s="116" t="s">
        <v>119</v>
      </c>
      <c r="B110" s="9">
        <v>30</v>
      </c>
    </row>
    <row r="111" spans="1:3" x14ac:dyDescent="0.2">
      <c r="A111" s="118" t="s">
        <v>120</v>
      </c>
      <c r="B111" s="9" t="s">
        <v>3076</v>
      </c>
    </row>
    <row r="112" spans="1:3" x14ac:dyDescent="0.2">
      <c r="A112" s="118" t="s">
        <v>121</v>
      </c>
      <c r="B112" s="9">
        <v>60</v>
      </c>
    </row>
    <row r="113" spans="1:2" x14ac:dyDescent="0.2">
      <c r="A113" s="118" t="s">
        <v>123</v>
      </c>
      <c r="B113" s="9" t="s">
        <v>4065</v>
      </c>
    </row>
    <row r="114" spans="1:2" x14ac:dyDescent="0.2">
      <c r="A114" s="118" t="s">
        <v>124</v>
      </c>
      <c r="B114" s="9" t="s">
        <v>3949</v>
      </c>
    </row>
    <row r="115" spans="1:2" x14ac:dyDescent="0.2">
      <c r="A115" s="118" t="s">
        <v>122</v>
      </c>
      <c r="B115" s="9" t="s">
        <v>4066</v>
      </c>
    </row>
    <row r="116" spans="1:2" x14ac:dyDescent="0.2">
      <c r="A116" s="118" t="s">
        <v>332</v>
      </c>
      <c r="B116" s="9">
        <v>0</v>
      </c>
    </row>
    <row r="117" spans="1:2" x14ac:dyDescent="0.2">
      <c r="A117" s="118" t="s">
        <v>333</v>
      </c>
      <c r="B117" s="9">
        <v>10</v>
      </c>
    </row>
    <row r="118" spans="1:2" x14ac:dyDescent="0.2">
      <c r="A118" s="118" t="s">
        <v>334</v>
      </c>
      <c r="B118" s="9">
        <v>2021</v>
      </c>
    </row>
    <row r="119" spans="1:2" x14ac:dyDescent="0.2">
      <c r="A119" s="116" t="s">
        <v>116</v>
      </c>
      <c r="B119" s="173">
        <v>45451</v>
      </c>
    </row>
    <row r="120" spans="1:2" ht="25.5" x14ac:dyDescent="0.2">
      <c r="A120" s="116" t="s">
        <v>117</v>
      </c>
      <c r="B120" s="9" t="s">
        <v>3950</v>
      </c>
    </row>
    <row r="121" spans="1:2" x14ac:dyDescent="0.2">
      <c r="A121" s="116" t="s">
        <v>131</v>
      </c>
      <c r="B121" s="9" t="s">
        <v>3940</v>
      </c>
    </row>
    <row r="122" spans="1:2" x14ac:dyDescent="0.2">
      <c r="A122" s="116" t="s">
        <v>132</v>
      </c>
      <c r="B122" s="173">
        <v>45452</v>
      </c>
    </row>
    <row r="123" spans="1:2" x14ac:dyDescent="0.2">
      <c r="A123" s="116" t="s">
        <v>133</v>
      </c>
      <c r="B123" s="9" t="s">
        <v>3951</v>
      </c>
    </row>
    <row r="124" spans="1:2" x14ac:dyDescent="0.2">
      <c r="A124" s="116" t="s">
        <v>127</v>
      </c>
      <c r="B124" s="173">
        <v>45453</v>
      </c>
    </row>
    <row r="125" spans="1:2" x14ac:dyDescent="0.2">
      <c r="A125" s="116" t="s">
        <v>128</v>
      </c>
      <c r="B125" s="9" t="s">
        <v>3952</v>
      </c>
    </row>
    <row r="126" spans="1:2" x14ac:dyDescent="0.2">
      <c r="A126" s="116" t="s">
        <v>125</v>
      </c>
      <c r="B126" s="9" t="s">
        <v>3953</v>
      </c>
    </row>
    <row r="127" spans="1:2" x14ac:dyDescent="0.2">
      <c r="A127" s="116" t="s">
        <v>126</v>
      </c>
      <c r="B127" s="173">
        <v>45453</v>
      </c>
    </row>
    <row r="128" spans="1:2" x14ac:dyDescent="0.2">
      <c r="A128" s="116" t="s">
        <v>111</v>
      </c>
      <c r="B128" s="9">
        <v>101</v>
      </c>
    </row>
    <row r="129" spans="1:3" x14ac:dyDescent="0.2">
      <c r="A129" s="116" t="s">
        <v>113</v>
      </c>
      <c r="B129" s="9">
        <v>258</v>
      </c>
    </row>
    <row r="130" spans="1:3" x14ac:dyDescent="0.2">
      <c r="A130" s="116" t="s">
        <v>112</v>
      </c>
      <c r="B130" s="173">
        <v>45454</v>
      </c>
    </row>
    <row r="131" spans="1:3" x14ac:dyDescent="0.2">
      <c r="A131" s="119" t="s">
        <v>135</v>
      </c>
      <c r="B131" s="173">
        <v>45454</v>
      </c>
    </row>
    <row r="132" spans="1:3" x14ac:dyDescent="0.2">
      <c r="A132" s="116" t="s">
        <v>136</v>
      </c>
      <c r="B132" s="9" t="s">
        <v>3948</v>
      </c>
    </row>
    <row r="133" spans="1:3" x14ac:dyDescent="0.2">
      <c r="A133" s="116" t="s">
        <v>118</v>
      </c>
      <c r="B133" s="178" t="s">
        <v>3979</v>
      </c>
      <c r="C133">
        <f>LEN(B133)</f>
        <v>14</v>
      </c>
    </row>
    <row r="134" spans="1:3" x14ac:dyDescent="0.2">
      <c r="A134" s="116" t="s">
        <v>1538</v>
      </c>
      <c r="B134" s="9" t="s">
        <v>3980</v>
      </c>
    </row>
    <row r="135" spans="1:3" x14ac:dyDescent="0.2">
      <c r="A135" s="180" t="s">
        <v>139</v>
      </c>
      <c r="B135" s="182">
        <v>45455</v>
      </c>
    </row>
    <row r="136" spans="1:3" x14ac:dyDescent="0.2">
      <c r="A136" s="120" t="s">
        <v>140</v>
      </c>
      <c r="B136" s="9" t="s">
        <v>3968</v>
      </c>
    </row>
    <row r="137" spans="1:3" x14ac:dyDescent="0.2">
      <c r="A137" s="120" t="s">
        <v>137</v>
      </c>
      <c r="B137" s="9" t="s">
        <v>266</v>
      </c>
    </row>
    <row r="138" spans="1:3" x14ac:dyDescent="0.2">
      <c r="A138" s="120" t="s">
        <v>138</v>
      </c>
      <c r="B138" s="9" t="s">
        <v>269</v>
      </c>
    </row>
    <row r="139" spans="1:3" x14ac:dyDescent="0.2">
      <c r="A139" s="120" t="s">
        <v>143</v>
      </c>
      <c r="B139" s="9" t="s">
        <v>3956</v>
      </c>
    </row>
    <row r="140" spans="1:3" x14ac:dyDescent="0.2">
      <c r="A140" s="120" t="s">
        <v>1596</v>
      </c>
      <c r="B140" s="9" t="s">
        <v>267</v>
      </c>
    </row>
    <row r="141" spans="1:3" x14ac:dyDescent="0.2">
      <c r="A141" s="120" t="s">
        <v>1597</v>
      </c>
      <c r="B141" s="9">
        <v>8052212585</v>
      </c>
    </row>
    <row r="142" spans="1:3" x14ac:dyDescent="0.2">
      <c r="A142" s="120" t="s">
        <v>144</v>
      </c>
      <c r="B142" s="9">
        <v>2462930919</v>
      </c>
    </row>
    <row r="143" spans="1:3" x14ac:dyDescent="0.2">
      <c r="A143" s="120" t="s">
        <v>145</v>
      </c>
      <c r="B143" s="9" t="s">
        <v>271</v>
      </c>
    </row>
    <row r="144" spans="1:3" x14ac:dyDescent="0.2">
      <c r="A144" s="120" t="s">
        <v>146</v>
      </c>
      <c r="B144" s="9" t="s">
        <v>272</v>
      </c>
    </row>
    <row r="145" spans="1:2" x14ac:dyDescent="0.2">
      <c r="A145" s="120" t="s">
        <v>147</v>
      </c>
      <c r="B145" s="9" t="s">
        <v>241</v>
      </c>
    </row>
    <row r="146" spans="1:2" x14ac:dyDescent="0.2">
      <c r="A146" s="179" t="s">
        <v>148</v>
      </c>
      <c r="B146" s="178" t="s">
        <v>3969</v>
      </c>
    </row>
    <row r="147" spans="1:2" x14ac:dyDescent="0.2">
      <c r="A147" s="179" t="s">
        <v>149</v>
      </c>
      <c r="B147" s="178" t="s">
        <v>3964</v>
      </c>
    </row>
    <row r="148" spans="1:2" x14ac:dyDescent="0.2">
      <c r="A148" s="120" t="s">
        <v>150</v>
      </c>
      <c r="B148" s="9" t="s">
        <v>3965</v>
      </c>
    </row>
    <row r="149" spans="1:2" x14ac:dyDescent="0.2">
      <c r="A149" s="120" t="s">
        <v>151</v>
      </c>
      <c r="B149" s="9" t="s">
        <v>230</v>
      </c>
    </row>
    <row r="150" spans="1:2" x14ac:dyDescent="0.2">
      <c r="A150" s="115" t="s">
        <v>494</v>
      </c>
      <c r="B150" s="9" t="s">
        <v>3967</v>
      </c>
    </row>
    <row r="151" spans="1:2" x14ac:dyDescent="0.2">
      <c r="A151" s="119" t="s">
        <v>154</v>
      </c>
      <c r="B151" s="9" t="s">
        <v>3955</v>
      </c>
    </row>
    <row r="152" spans="1:2" x14ac:dyDescent="0.2">
      <c r="A152" s="116" t="s">
        <v>155</v>
      </c>
      <c r="B152" s="9" t="s">
        <v>3966</v>
      </c>
    </row>
    <row r="153" spans="1:2" x14ac:dyDescent="0.2">
      <c r="A153" s="116" t="s">
        <v>141</v>
      </c>
      <c r="B153" s="9" t="s">
        <v>3982</v>
      </c>
    </row>
    <row r="154" spans="1:2" x14ac:dyDescent="0.2">
      <c r="A154" s="116" t="s">
        <v>142</v>
      </c>
      <c r="B154" s="9" t="s">
        <v>3983</v>
      </c>
    </row>
    <row r="155" spans="1:2" x14ac:dyDescent="0.2">
      <c r="A155" s="116" t="s">
        <v>134</v>
      </c>
      <c r="B155" s="9"/>
    </row>
    <row r="156" spans="1:2" x14ac:dyDescent="0.2">
      <c r="A156" s="116" t="s">
        <v>156</v>
      </c>
      <c r="B156" s="173" t="s">
        <v>3958</v>
      </c>
    </row>
    <row r="157" spans="1:2" x14ac:dyDescent="0.2">
      <c r="A157" s="116" t="s">
        <v>157</v>
      </c>
      <c r="B157" s="9" t="s">
        <v>3970</v>
      </c>
    </row>
    <row r="158" spans="1:2" x14ac:dyDescent="0.2">
      <c r="A158" s="116" t="s">
        <v>158</v>
      </c>
      <c r="B158" s="9" t="s">
        <v>3959</v>
      </c>
    </row>
    <row r="159" spans="1:2" x14ac:dyDescent="0.2">
      <c r="A159" s="116" t="s">
        <v>159</v>
      </c>
      <c r="B159" s="9" t="s">
        <v>3960</v>
      </c>
    </row>
    <row r="160" spans="1:2" x14ac:dyDescent="0.2">
      <c r="A160" s="115" t="s">
        <v>152</v>
      </c>
      <c r="B160" s="9" t="s">
        <v>3086</v>
      </c>
    </row>
    <row r="161" spans="1:2" x14ac:dyDescent="0.2">
      <c r="A161" s="115" t="s">
        <v>153</v>
      </c>
      <c r="B161" s="9" t="s">
        <v>3957</v>
      </c>
    </row>
    <row r="162" spans="1:2" x14ac:dyDescent="0.2">
      <c r="A162" s="116" t="s">
        <v>164</v>
      </c>
      <c r="B162" s="9" t="s">
        <v>3940</v>
      </c>
    </row>
    <row r="163" spans="1:2" x14ac:dyDescent="0.2">
      <c r="A163" s="116" t="s">
        <v>165</v>
      </c>
      <c r="B163" s="9" t="s">
        <v>3971</v>
      </c>
    </row>
    <row r="164" spans="1:2" x14ac:dyDescent="0.2">
      <c r="A164" s="116" t="s">
        <v>166</v>
      </c>
      <c r="B164" s="9" t="s">
        <v>3972</v>
      </c>
    </row>
    <row r="165" spans="1:2" x14ac:dyDescent="0.2">
      <c r="A165" s="116" t="s">
        <v>160</v>
      </c>
      <c r="B165" s="9" t="s">
        <v>3973</v>
      </c>
    </row>
    <row r="166" spans="1:2" x14ac:dyDescent="0.2">
      <c r="A166" s="116" t="s">
        <v>161</v>
      </c>
      <c r="B166" s="9" t="s">
        <v>3974</v>
      </c>
    </row>
    <row r="167" spans="1:2" x14ac:dyDescent="0.2">
      <c r="A167" s="116" t="s">
        <v>472</v>
      </c>
      <c r="B167" s="9" t="s">
        <v>3975</v>
      </c>
    </row>
    <row r="168" spans="1:2" x14ac:dyDescent="0.2">
      <c r="A168" s="119" t="s">
        <v>167</v>
      </c>
      <c r="B168" s="9" t="s">
        <v>3976</v>
      </c>
    </row>
    <row r="169" spans="1:2" x14ac:dyDescent="0.2">
      <c r="A169" s="116" t="s">
        <v>168</v>
      </c>
      <c r="B169" s="9" t="s">
        <v>3975</v>
      </c>
    </row>
    <row r="170" spans="1:2" x14ac:dyDescent="0.2">
      <c r="A170" s="116" t="s">
        <v>169</v>
      </c>
      <c r="B170" s="9" t="s">
        <v>3977</v>
      </c>
    </row>
    <row r="171" spans="1:2" x14ac:dyDescent="0.2">
      <c r="A171" s="116" t="s">
        <v>170</v>
      </c>
      <c r="B171" s="9" t="s">
        <v>230</v>
      </c>
    </row>
    <row r="172" spans="1:2" x14ac:dyDescent="0.2">
      <c r="A172" s="116" t="s">
        <v>171</v>
      </c>
      <c r="B172" s="9"/>
    </row>
    <row r="173" spans="1:2" x14ac:dyDescent="0.2">
      <c r="A173" s="116" t="s">
        <v>162</v>
      </c>
      <c r="B173" s="9" t="s">
        <v>3961</v>
      </c>
    </row>
    <row r="174" spans="1:2" x14ac:dyDescent="0.2">
      <c r="A174" s="116" t="s">
        <v>163</v>
      </c>
      <c r="B174" s="9" t="s">
        <v>3962</v>
      </c>
    </row>
    <row r="175" spans="1:2" x14ac:dyDescent="0.2">
      <c r="A175" s="116" t="s">
        <v>488</v>
      </c>
      <c r="B175" s="173"/>
    </row>
    <row r="176" spans="1:2" x14ac:dyDescent="0.2">
      <c r="A176" s="116" t="s">
        <v>339</v>
      </c>
      <c r="B176" s="9"/>
    </row>
    <row r="177" spans="1:2" x14ac:dyDescent="0.2">
      <c r="A177" s="116" t="s">
        <v>172</v>
      </c>
      <c r="B177" s="9"/>
    </row>
    <row r="178" spans="1:2" x14ac:dyDescent="0.2">
      <c r="A178" s="116" t="s">
        <v>173</v>
      </c>
      <c r="B178" s="173"/>
    </row>
    <row r="179" spans="1:2" x14ac:dyDescent="0.2">
      <c r="A179" s="116" t="s">
        <v>174</v>
      </c>
      <c r="B179" s="9" t="s">
        <v>3970</v>
      </c>
    </row>
    <row r="180" spans="1:2" x14ac:dyDescent="0.2">
      <c r="A180" s="116" t="s">
        <v>487</v>
      </c>
      <c r="B180" s="173"/>
    </row>
    <row r="181" spans="1:2" x14ac:dyDescent="0.2">
      <c r="A181" s="116" t="s">
        <v>490</v>
      </c>
      <c r="B181" s="9" t="s">
        <v>3984</v>
      </c>
    </row>
    <row r="182" spans="1:2" x14ac:dyDescent="0.2">
      <c r="A182" s="119" t="s">
        <v>1552</v>
      </c>
      <c r="B182" s="9"/>
    </row>
    <row r="183" spans="1:2" x14ac:dyDescent="0.2">
      <c r="A183" s="116" t="s">
        <v>1553</v>
      </c>
      <c r="B183" s="9"/>
    </row>
    <row r="184" spans="1:2" x14ac:dyDescent="0.2">
      <c r="A184" s="116" t="s">
        <v>1554</v>
      </c>
      <c r="B184" s="9"/>
    </row>
    <row r="185" spans="1:2" x14ac:dyDescent="0.2">
      <c r="A185" s="116" t="s">
        <v>1555</v>
      </c>
      <c r="B185" s="9"/>
    </row>
    <row r="186" spans="1:2" x14ac:dyDescent="0.2">
      <c r="A186" s="116" t="s">
        <v>1556</v>
      </c>
      <c r="B186" s="9"/>
    </row>
    <row r="187" spans="1:2" x14ac:dyDescent="0.2">
      <c r="A187" s="116" t="s">
        <v>1557</v>
      </c>
      <c r="B187" s="9"/>
    </row>
    <row r="188" spans="1:2" x14ac:dyDescent="0.2">
      <c r="A188" s="116" t="s">
        <v>1558</v>
      </c>
      <c r="B188" s="9"/>
    </row>
    <row r="189" spans="1:2" x14ac:dyDescent="0.2">
      <c r="A189" s="116" t="s">
        <v>1559</v>
      </c>
      <c r="B189" s="9"/>
    </row>
    <row r="190" spans="1:2" x14ac:dyDescent="0.2">
      <c r="A190" s="116" t="s">
        <v>1560</v>
      </c>
      <c r="B190" s="9"/>
    </row>
    <row r="191" spans="1:2" x14ac:dyDescent="0.2">
      <c r="A191" s="116" t="s">
        <v>1562</v>
      </c>
      <c r="B191" s="9"/>
    </row>
    <row r="192" spans="1:2" x14ac:dyDescent="0.2">
      <c r="A192" s="116" t="s">
        <v>1561</v>
      </c>
      <c r="B192" s="9"/>
    </row>
    <row r="193" spans="1:2" x14ac:dyDescent="0.2">
      <c r="A193" s="179" t="s">
        <v>4011</v>
      </c>
      <c r="B193" s="9"/>
    </row>
    <row r="194" spans="1:2" x14ac:dyDescent="0.2">
      <c r="A194" s="116" t="s">
        <v>1587</v>
      </c>
      <c r="B194" s="9" t="s">
        <v>3766</v>
      </c>
    </row>
    <row r="195" spans="1:2" x14ac:dyDescent="0.2">
      <c r="A195" s="116" t="s">
        <v>1588</v>
      </c>
      <c r="B195" s="9" t="s">
        <v>3767</v>
      </c>
    </row>
    <row r="196" spans="1:2" x14ac:dyDescent="0.2">
      <c r="A196" s="116" t="s">
        <v>1589</v>
      </c>
      <c r="B196" s="9">
        <v>283.83960200000001</v>
      </c>
    </row>
    <row r="197" spans="1:2" x14ac:dyDescent="0.2">
      <c r="A197" s="116" t="s">
        <v>1590</v>
      </c>
      <c r="B197" s="9">
        <v>283.83562699999999</v>
      </c>
    </row>
    <row r="198" spans="1:2" x14ac:dyDescent="0.2">
      <c r="A198" s="115" t="s">
        <v>1595</v>
      </c>
      <c r="B198" s="9" t="s">
        <v>3761</v>
      </c>
    </row>
    <row r="199" spans="1:2" x14ac:dyDescent="0.2">
      <c r="A199" s="115" t="s">
        <v>1625</v>
      </c>
      <c r="B199" s="9"/>
    </row>
    <row r="200" spans="1:2" x14ac:dyDescent="0.2">
      <c r="A200" s="145" t="s">
        <v>175</v>
      </c>
      <c r="B200" s="9"/>
    </row>
    <row r="201" spans="1:2" x14ac:dyDescent="0.2">
      <c r="A201" s="116" t="s">
        <v>176</v>
      </c>
      <c r="B201" s="9"/>
    </row>
    <row r="202" spans="1:2" x14ac:dyDescent="0.2">
      <c r="A202" s="116" t="s">
        <v>177</v>
      </c>
      <c r="B202" s="9"/>
    </row>
    <row r="203" spans="1:2" x14ac:dyDescent="0.2">
      <c r="A203" s="116" t="s">
        <v>178</v>
      </c>
      <c r="B203" s="9"/>
    </row>
    <row r="204" spans="1:2" x14ac:dyDescent="0.2">
      <c r="A204" s="116" t="s">
        <v>179</v>
      </c>
      <c r="B204" s="9"/>
    </row>
    <row r="205" spans="1:2" x14ac:dyDescent="0.2">
      <c r="A205" s="116" t="s">
        <v>180</v>
      </c>
      <c r="B205" s="9"/>
    </row>
    <row r="206" spans="1:2" x14ac:dyDescent="0.2">
      <c r="A206" s="116" t="s">
        <v>325</v>
      </c>
      <c r="B206" s="9"/>
    </row>
    <row r="207" spans="1:2" x14ac:dyDescent="0.2">
      <c r="A207" s="116" t="s">
        <v>326</v>
      </c>
      <c r="B207" s="9"/>
    </row>
    <row r="208" spans="1:2" x14ac:dyDescent="0.2">
      <c r="A208" s="116" t="s">
        <v>327</v>
      </c>
      <c r="B208" s="9"/>
    </row>
    <row r="209" spans="1:2" x14ac:dyDescent="0.2">
      <c r="A209" s="116" t="s">
        <v>328</v>
      </c>
      <c r="B209" s="9"/>
    </row>
    <row r="210" spans="1:2" x14ac:dyDescent="0.2">
      <c r="A210" s="116" t="s">
        <v>329</v>
      </c>
      <c r="B210" s="9"/>
    </row>
    <row r="211" spans="1:2" x14ac:dyDescent="0.2">
      <c r="A211" s="116" t="s">
        <v>331</v>
      </c>
      <c r="B211" s="9"/>
    </row>
    <row r="212" spans="1:2" x14ac:dyDescent="0.2">
      <c r="A212" s="116" t="s">
        <v>330</v>
      </c>
      <c r="B212" s="9"/>
    </row>
    <row r="213" spans="1:2" x14ac:dyDescent="0.2">
      <c r="A213" s="183" t="s">
        <v>3978</v>
      </c>
      <c r="B213" s="9">
        <v>1</v>
      </c>
    </row>
    <row r="214" spans="1:2" x14ac:dyDescent="0.2">
      <c r="A214" s="174" t="s">
        <v>1598</v>
      </c>
      <c r="B214" s="9"/>
    </row>
    <row r="215" spans="1:2" x14ac:dyDescent="0.2">
      <c r="A215" s="174" t="s">
        <v>1606</v>
      </c>
      <c r="B215" s="9"/>
    </row>
    <row r="216" spans="1:2" x14ac:dyDescent="0.2">
      <c r="A216" s="181" t="s">
        <v>1607</v>
      </c>
      <c r="B216" s="9" t="s">
        <v>4067</v>
      </c>
    </row>
    <row r="217" spans="1:2" x14ac:dyDescent="0.2">
      <c r="A217" s="174" t="s">
        <v>1608</v>
      </c>
      <c r="B217" s="9"/>
    </row>
    <row r="218" spans="1:2" x14ac:dyDescent="0.2">
      <c r="A218" s="174" t="s">
        <v>1609</v>
      </c>
      <c r="B218" s="9"/>
    </row>
    <row r="219" spans="1:2" x14ac:dyDescent="0.2">
      <c r="A219" s="175" t="s">
        <v>3774</v>
      </c>
      <c r="B219" s="9"/>
    </row>
    <row r="220" spans="1:2" x14ac:dyDescent="0.2">
      <c r="A220" s="175" t="s">
        <v>3775</v>
      </c>
      <c r="B220" s="9"/>
    </row>
    <row r="221" spans="1:2" x14ac:dyDescent="0.2">
      <c r="A221" s="175" t="s">
        <v>3776</v>
      </c>
      <c r="B221" s="9"/>
    </row>
    <row r="222" spans="1:2" x14ac:dyDescent="0.2">
      <c r="A222" s="175" t="s">
        <v>3777</v>
      </c>
      <c r="B222" s="9"/>
    </row>
    <row r="223" spans="1:2" x14ac:dyDescent="0.2">
      <c r="A223" s="175" t="s">
        <v>3778</v>
      </c>
      <c r="B223" s="9"/>
    </row>
    <row r="224" spans="1:2" ht="15.75" x14ac:dyDescent="0.25">
      <c r="A224" s="176" t="s">
        <v>3785</v>
      </c>
      <c r="B224" s="9"/>
    </row>
    <row r="225" spans="1:3" x14ac:dyDescent="0.2">
      <c r="A225" s="175" t="s">
        <v>3780</v>
      </c>
      <c r="B225" s="9"/>
    </row>
    <row r="226" spans="1:3" x14ac:dyDescent="0.2">
      <c r="A226" s="175" t="s">
        <v>3781</v>
      </c>
      <c r="B226" s="9"/>
    </row>
    <row r="227" spans="1:3" x14ac:dyDescent="0.2">
      <c r="A227" s="175" t="s">
        <v>3782</v>
      </c>
      <c r="B227" s="9"/>
    </row>
    <row r="228" spans="1:3" ht="15" x14ac:dyDescent="0.25">
      <c r="A228" s="177" t="s">
        <v>3783</v>
      </c>
      <c r="B228" s="9"/>
    </row>
    <row r="229" spans="1:3" ht="15" x14ac:dyDescent="0.25">
      <c r="A229" s="177" t="s">
        <v>3784</v>
      </c>
      <c r="B229" s="9"/>
    </row>
    <row r="230" spans="1:3" ht="15" x14ac:dyDescent="0.25">
      <c r="A230" s="177" t="s">
        <v>3779</v>
      </c>
      <c r="B230" s="9"/>
    </row>
    <row r="231" spans="1:3" ht="15.75" x14ac:dyDescent="0.25">
      <c r="A231" s="149"/>
    </row>
    <row r="236" spans="1:3" x14ac:dyDescent="0.2">
      <c r="C236" s="59"/>
    </row>
  </sheetData>
  <sheetProtection formatCells="0" deleteColumns="0"/>
  <autoFilter ref="AA3:AK5" xr:uid="{00000000-0001-0000-0300-000000000000}">
    <sortState xmlns:xlrd2="http://schemas.microsoft.com/office/spreadsheetml/2017/richdata2" ref="AA4:AK5">
      <sortCondition ref="AK3:AK5"/>
    </sortState>
  </autoFilter>
  <conditionalFormatting sqref="B3">
    <cfRule type="duplicateValues" dxfId="8" priority="8"/>
  </conditionalFormatting>
  <conditionalFormatting sqref="A4:A300">
    <cfRule type="duplicateValues" dxfId="7" priority="1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DLG_NhaThau">
    <tabColor theme="9" tint="0.39997558519241921"/>
  </sheetPr>
  <dimension ref="A3:M15"/>
  <sheetViews>
    <sheetView showGridLines="0" workbookViewId="0">
      <selection activeCell="C24" sqref="C24"/>
    </sheetView>
  </sheetViews>
  <sheetFormatPr defaultRowHeight="14.25" x14ac:dyDescent="0.2"/>
  <cols>
    <col min="1" max="1" width="5.75" customWidth="1"/>
    <col min="2" max="2" width="11.125" customWidth="1"/>
    <col min="3" max="3" width="43.375" customWidth="1"/>
    <col min="4" max="4" width="23.375" customWidth="1"/>
    <col min="5" max="5" width="11.125" customWidth="1"/>
    <col min="6" max="6" width="22.125" customWidth="1"/>
    <col min="7" max="7" width="11.625" customWidth="1"/>
    <col min="8" max="8" width="10.375" customWidth="1"/>
    <col min="9" max="9" width="27.875" customWidth="1"/>
    <col min="10" max="10" width="16.125" customWidth="1"/>
    <col min="11" max="11" width="17.875" customWidth="1"/>
    <col min="12" max="12" width="13.875" customWidth="1"/>
    <col min="13" max="13" width="11.625" customWidth="1"/>
  </cols>
  <sheetData>
    <row r="3" spans="1:13" x14ac:dyDescent="0.2">
      <c r="A3" s="60" t="s">
        <v>340</v>
      </c>
      <c r="B3" s="61" t="s">
        <v>232</v>
      </c>
      <c r="C3" s="61" t="s">
        <v>231</v>
      </c>
      <c r="D3" s="61" t="s">
        <v>233</v>
      </c>
      <c r="E3" s="61" t="s">
        <v>234</v>
      </c>
      <c r="F3" s="61" t="s">
        <v>183</v>
      </c>
      <c r="G3" s="61" t="s">
        <v>235</v>
      </c>
      <c r="H3" s="61" t="s">
        <v>236</v>
      </c>
      <c r="I3" s="61" t="s">
        <v>237</v>
      </c>
      <c r="J3" s="61" t="s">
        <v>238</v>
      </c>
      <c r="K3" s="61" t="s">
        <v>182</v>
      </c>
      <c r="L3" s="61" t="s">
        <v>239</v>
      </c>
      <c r="M3" s="61" t="s">
        <v>240</v>
      </c>
    </row>
    <row r="4" spans="1:13" x14ac:dyDescent="0.2">
      <c r="A4" s="62">
        <v>6</v>
      </c>
      <c r="B4" s="63" t="s">
        <v>253</v>
      </c>
      <c r="C4" s="64" t="s">
        <v>252</v>
      </c>
      <c r="D4" s="64" t="s">
        <v>254</v>
      </c>
      <c r="E4" s="64">
        <v>8296142879</v>
      </c>
      <c r="F4" s="64" t="s">
        <v>255</v>
      </c>
      <c r="G4" s="63" t="s">
        <v>256</v>
      </c>
      <c r="H4" s="63" t="s">
        <v>256</v>
      </c>
      <c r="I4" s="64" t="s">
        <v>257</v>
      </c>
      <c r="J4" s="64" t="s">
        <v>258</v>
      </c>
      <c r="K4" s="64" t="s">
        <v>241</v>
      </c>
      <c r="L4" s="63" t="s">
        <v>259</v>
      </c>
      <c r="M4" s="64"/>
    </row>
    <row r="5" spans="1:13" x14ac:dyDescent="0.2">
      <c r="A5" s="62">
        <v>7</v>
      </c>
      <c r="B5" s="63" t="s">
        <v>260</v>
      </c>
      <c r="C5" s="64" t="s">
        <v>72</v>
      </c>
      <c r="D5" s="64" t="s">
        <v>254</v>
      </c>
      <c r="E5" s="63" t="s">
        <v>261</v>
      </c>
      <c r="F5" s="64" t="s">
        <v>262</v>
      </c>
      <c r="G5" s="63" t="s">
        <v>263</v>
      </c>
      <c r="H5" s="63"/>
      <c r="I5" s="64" t="s">
        <v>264</v>
      </c>
      <c r="J5" s="64" t="s">
        <v>265</v>
      </c>
      <c r="K5" s="64" t="s">
        <v>241</v>
      </c>
      <c r="L5" s="63" t="s">
        <v>259</v>
      </c>
      <c r="M5" s="64"/>
    </row>
    <row r="6" spans="1:13" x14ac:dyDescent="0.2">
      <c r="A6" s="62">
        <v>8</v>
      </c>
      <c r="B6" s="65" t="s">
        <v>267</v>
      </c>
      <c r="C6" s="64" t="s">
        <v>266</v>
      </c>
      <c r="D6" s="64" t="s">
        <v>268</v>
      </c>
      <c r="E6" s="63">
        <v>8052212585</v>
      </c>
      <c r="F6" s="64" t="s">
        <v>269</v>
      </c>
      <c r="G6" s="63" t="s">
        <v>270</v>
      </c>
      <c r="H6" s="64"/>
      <c r="I6" s="64" t="s">
        <v>271</v>
      </c>
      <c r="J6" s="64" t="s">
        <v>272</v>
      </c>
      <c r="K6" s="64" t="s">
        <v>241</v>
      </c>
      <c r="L6" s="64"/>
      <c r="M6" s="64"/>
    </row>
    <row r="7" spans="1:13" x14ac:dyDescent="0.2">
      <c r="A7" s="62">
        <v>10</v>
      </c>
      <c r="B7" s="63" t="s">
        <v>275</v>
      </c>
      <c r="C7" s="64" t="s">
        <v>274</v>
      </c>
      <c r="D7" s="64" t="s">
        <v>273</v>
      </c>
      <c r="E7" s="63" t="s">
        <v>275</v>
      </c>
      <c r="F7" s="64" t="s">
        <v>276</v>
      </c>
      <c r="G7" s="63" t="s">
        <v>277</v>
      </c>
      <c r="H7" s="64"/>
      <c r="I7" s="64" t="s">
        <v>278</v>
      </c>
      <c r="J7" s="64" t="s">
        <v>279</v>
      </c>
      <c r="K7" s="64" t="s">
        <v>230</v>
      </c>
      <c r="L7" s="64"/>
      <c r="M7" s="64"/>
    </row>
    <row r="8" spans="1:13" x14ac:dyDescent="0.2">
      <c r="A8" s="62">
        <v>3</v>
      </c>
      <c r="B8" s="64" t="s">
        <v>243</v>
      </c>
      <c r="C8" s="64" t="s">
        <v>242</v>
      </c>
      <c r="D8" s="64" t="s">
        <v>244</v>
      </c>
      <c r="E8" s="64">
        <v>1236</v>
      </c>
      <c r="F8" s="64" t="s">
        <v>245</v>
      </c>
      <c r="G8" s="64">
        <v>24.397105499999999</v>
      </c>
      <c r="H8" s="64">
        <v>24.397105499999999</v>
      </c>
      <c r="I8" s="64" t="s">
        <v>246</v>
      </c>
      <c r="J8" s="64" t="s">
        <v>247</v>
      </c>
      <c r="K8" s="64" t="s">
        <v>241</v>
      </c>
      <c r="L8" s="64"/>
      <c r="M8" s="64"/>
    </row>
    <row r="9" spans="1:13" x14ac:dyDescent="0.2">
      <c r="A9" s="62">
        <v>5</v>
      </c>
      <c r="B9" s="62">
        <v>105056666</v>
      </c>
      <c r="C9" s="62" t="s">
        <v>248</v>
      </c>
      <c r="D9" s="62"/>
      <c r="E9" s="62">
        <v>1238</v>
      </c>
      <c r="F9" s="62" t="s">
        <v>249</v>
      </c>
      <c r="G9" s="62">
        <v>2437653537</v>
      </c>
      <c r="H9" s="62"/>
      <c r="I9" s="62" t="s">
        <v>250</v>
      </c>
      <c r="J9" s="62" t="s">
        <v>251</v>
      </c>
      <c r="K9" s="62" t="s">
        <v>241</v>
      </c>
      <c r="L9" s="62"/>
      <c r="M9" s="62"/>
    </row>
    <row r="10" spans="1:13" x14ac:dyDescent="0.2">
      <c r="A10" s="62">
        <v>6</v>
      </c>
      <c r="B10" s="62">
        <v>105056666</v>
      </c>
      <c r="C10" s="62" t="s">
        <v>248</v>
      </c>
      <c r="D10" s="62" t="s">
        <v>467</v>
      </c>
      <c r="E10" s="62">
        <v>1238</v>
      </c>
      <c r="F10" s="62" t="s">
        <v>249</v>
      </c>
      <c r="G10" s="62">
        <v>2437653537</v>
      </c>
      <c r="H10" s="62"/>
      <c r="I10" s="62" t="s">
        <v>250</v>
      </c>
      <c r="J10" s="62" t="s">
        <v>251</v>
      </c>
      <c r="K10" s="62" t="s">
        <v>241</v>
      </c>
      <c r="L10" s="62"/>
      <c r="M10" s="62"/>
    </row>
    <row r="11" spans="1:13" x14ac:dyDescent="0.2">
      <c r="A11" s="62">
        <v>7</v>
      </c>
      <c r="B11" s="62" t="s">
        <v>260</v>
      </c>
      <c r="C11" s="62" t="s">
        <v>72</v>
      </c>
      <c r="D11" s="62" t="s">
        <v>254</v>
      </c>
      <c r="E11" s="62">
        <v>1240</v>
      </c>
      <c r="F11" s="62" t="s">
        <v>262</v>
      </c>
      <c r="G11" s="62" t="s">
        <v>263</v>
      </c>
      <c r="H11" s="62"/>
      <c r="I11" s="62" t="s">
        <v>264</v>
      </c>
      <c r="J11" s="62" t="s">
        <v>265</v>
      </c>
      <c r="K11" s="62" t="s">
        <v>241</v>
      </c>
      <c r="L11" s="62">
        <v>1307004</v>
      </c>
      <c r="M11" s="62"/>
    </row>
    <row r="12" spans="1:13" x14ac:dyDescent="0.2">
      <c r="A12" s="62">
        <v>8</v>
      </c>
      <c r="B12" s="62" t="s">
        <v>267</v>
      </c>
      <c r="C12" s="62" t="s">
        <v>266</v>
      </c>
      <c r="D12" s="62" t="s">
        <v>268</v>
      </c>
      <c r="E12" s="62">
        <v>1241</v>
      </c>
      <c r="F12" s="62" t="s">
        <v>269</v>
      </c>
      <c r="G12" s="62">
        <v>2462930919</v>
      </c>
      <c r="H12" s="62"/>
      <c r="I12" s="62" t="s">
        <v>271</v>
      </c>
      <c r="J12" s="62" t="s">
        <v>272</v>
      </c>
      <c r="K12" s="62" t="s">
        <v>241</v>
      </c>
      <c r="L12" s="62"/>
      <c r="M12" s="62"/>
    </row>
    <row r="13" spans="1:13" x14ac:dyDescent="0.2">
      <c r="A13" s="62">
        <v>10</v>
      </c>
      <c r="B13" s="62">
        <v>315178244</v>
      </c>
      <c r="C13" s="62" t="s">
        <v>274</v>
      </c>
      <c r="D13" s="62" t="s">
        <v>273</v>
      </c>
      <c r="E13" s="62">
        <v>1243</v>
      </c>
      <c r="F13" s="62" t="s">
        <v>276</v>
      </c>
      <c r="G13" s="62">
        <v>283.73096369000001</v>
      </c>
      <c r="H13" s="62"/>
      <c r="I13" s="62" t="s">
        <v>278</v>
      </c>
      <c r="J13" s="62" t="s">
        <v>279</v>
      </c>
      <c r="K13" s="62" t="s">
        <v>230</v>
      </c>
      <c r="L13" s="62"/>
      <c r="M13" s="62"/>
    </row>
    <row r="14" spans="1:13" x14ac:dyDescent="0.2">
      <c r="A14" s="62">
        <v>24</v>
      </c>
      <c r="B14" s="62">
        <v>123456</v>
      </c>
      <c r="C14" s="62" t="s">
        <v>461</v>
      </c>
      <c r="D14" s="62" t="s">
        <v>462</v>
      </c>
      <c r="E14" s="62">
        <v>123246656</v>
      </c>
      <c r="F14" s="62" t="s">
        <v>463</v>
      </c>
      <c r="G14" s="62">
        <v>961</v>
      </c>
      <c r="H14" s="62">
        <v>965</v>
      </c>
      <c r="I14" s="62" t="s">
        <v>464</v>
      </c>
      <c r="J14" s="62" t="s">
        <v>465</v>
      </c>
      <c r="K14" s="62" t="s">
        <v>230</v>
      </c>
      <c r="L14" s="62" t="s">
        <v>466</v>
      </c>
      <c r="M14" s="62">
        <v>22</v>
      </c>
    </row>
    <row r="15" spans="1:13" x14ac:dyDescent="0.2">
      <c r="A15" s="62">
        <v>12</v>
      </c>
      <c r="B15" s="62">
        <v>123456</v>
      </c>
      <c r="C15" s="62" t="s">
        <v>1509</v>
      </c>
      <c r="D15" s="62" t="s">
        <v>462</v>
      </c>
      <c r="E15" s="62">
        <v>123246656</v>
      </c>
      <c r="F15" s="62" t="s">
        <v>463</v>
      </c>
      <c r="G15" s="62">
        <v>961</v>
      </c>
      <c r="H15" s="62">
        <v>965</v>
      </c>
      <c r="I15" s="62" t="s">
        <v>464</v>
      </c>
      <c r="J15" s="62" t="s">
        <v>465</v>
      </c>
      <c r="K15" s="62" t="s">
        <v>230</v>
      </c>
      <c r="L15" s="62">
        <v>12453866</v>
      </c>
      <c r="M15" s="62">
        <v>22</v>
      </c>
    </row>
  </sheetData>
  <pageMargins left="0.7" right="0.7" top="0.75" bottom="0.75" header="0.3" footer="0.3"/>
  <pageSetup paperSize="9" orientation="portrait" horizontalDpi="4294967293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DLG_CB">
    <tabColor theme="9" tint="0.39997558519241921"/>
  </sheetPr>
  <dimension ref="A3:X497"/>
  <sheetViews>
    <sheetView topLeftCell="Q1" zoomScale="70" zoomScaleNormal="70" workbookViewId="0">
      <pane ySplit="3" topLeftCell="A4" activePane="bottomLeft" state="frozen"/>
      <selection activeCell="G17" sqref="G17"/>
      <selection pane="bottomLeft" activeCell="W22" sqref="W22"/>
    </sheetView>
  </sheetViews>
  <sheetFormatPr defaultRowHeight="14.25" x14ac:dyDescent="0.2"/>
  <cols>
    <col min="1" max="1" width="4.875" customWidth="1"/>
    <col min="2" max="2" width="24" customWidth="1"/>
    <col min="3" max="3" width="24.375" customWidth="1"/>
    <col min="4" max="5" width="21.75" customWidth="1"/>
    <col min="6" max="6" width="22.625" customWidth="1"/>
    <col min="7" max="7" width="13.375" customWidth="1"/>
    <col min="8" max="8" width="13" customWidth="1"/>
    <col min="9" max="9" width="11.375" customWidth="1"/>
    <col min="10" max="10" width="11.625" customWidth="1"/>
    <col min="11" max="11" width="19.875" customWidth="1"/>
    <col min="12" max="12" width="27.625" customWidth="1"/>
    <col min="13" max="13" width="16.25" customWidth="1"/>
    <col min="14" max="14" width="6.75" customWidth="1"/>
    <col min="15" max="15" width="10.875" customWidth="1"/>
    <col min="16" max="16" width="28" customWidth="1"/>
    <col min="17" max="17" width="30.625" customWidth="1"/>
    <col min="19" max="19" width="25.25" customWidth="1"/>
    <col min="20" max="20" width="16.625" customWidth="1"/>
    <col min="22" max="22" width="24.375" customWidth="1"/>
    <col min="23" max="23" width="14" customWidth="1"/>
  </cols>
  <sheetData>
    <row r="3" spans="1:24" ht="28.5" x14ac:dyDescent="0.2">
      <c r="A3" s="75" t="s">
        <v>340</v>
      </c>
      <c r="B3" s="75" t="s">
        <v>548</v>
      </c>
      <c r="C3" s="96" t="s">
        <v>567</v>
      </c>
      <c r="D3" s="75" t="s">
        <v>181</v>
      </c>
      <c r="E3" s="75" t="s">
        <v>1501</v>
      </c>
      <c r="F3" s="75" t="s">
        <v>182</v>
      </c>
      <c r="G3" s="75" t="s">
        <v>183</v>
      </c>
      <c r="H3" s="76" t="s">
        <v>184</v>
      </c>
      <c r="I3" s="75" t="s">
        <v>185</v>
      </c>
      <c r="J3" s="75" t="s">
        <v>186</v>
      </c>
      <c r="K3" s="75" t="s">
        <v>493</v>
      </c>
      <c r="L3" s="75" t="s">
        <v>492</v>
      </c>
      <c r="M3" s="75" t="s">
        <v>491</v>
      </c>
      <c r="N3" s="75" t="s">
        <v>188</v>
      </c>
      <c r="O3" s="75" t="s">
        <v>189</v>
      </c>
      <c r="P3" s="75" t="s">
        <v>190</v>
      </c>
      <c r="Q3" s="77" t="s">
        <v>285</v>
      </c>
      <c r="S3" s="56" t="s">
        <v>397</v>
      </c>
      <c r="T3" s="56" t="s">
        <v>398</v>
      </c>
      <c r="U3" s="56" t="s">
        <v>399</v>
      </c>
      <c r="V3" s="56" t="s">
        <v>183</v>
      </c>
      <c r="W3" s="56" t="s">
        <v>1617</v>
      </c>
      <c r="X3" s="56" t="s">
        <v>1620</v>
      </c>
    </row>
    <row r="4" spans="1:24" ht="15" x14ac:dyDescent="0.25">
      <c r="A4" s="78">
        <v>1</v>
      </c>
      <c r="B4" s="83" t="s">
        <v>549</v>
      </c>
      <c r="C4" s="83" t="s">
        <v>549</v>
      </c>
      <c r="D4" s="79" t="s">
        <v>603</v>
      </c>
      <c r="E4" s="79"/>
      <c r="F4" s="80" t="s">
        <v>280</v>
      </c>
      <c r="G4" s="78"/>
      <c r="H4" s="78"/>
      <c r="I4" s="78"/>
      <c r="J4" s="78"/>
      <c r="K4" s="78"/>
      <c r="L4" s="78"/>
      <c r="M4" s="78"/>
      <c r="N4" s="78"/>
      <c r="O4" s="81" t="s">
        <v>1521</v>
      </c>
      <c r="P4" s="78"/>
      <c r="Q4" s="78"/>
      <c r="S4" s="57" t="s">
        <v>508</v>
      </c>
      <c r="T4" s="57" t="s">
        <v>70</v>
      </c>
      <c r="U4" s="57" t="s">
        <v>196</v>
      </c>
      <c r="V4" s="7" t="s">
        <v>192</v>
      </c>
      <c r="W4" s="122" t="s">
        <v>1618</v>
      </c>
      <c r="X4" t="str">
        <f>UPPER(S4)</f>
        <v>PHÒNG ĐỘ BỀN NHIỆT ĐỚI</v>
      </c>
    </row>
    <row r="5" spans="1:24" ht="15" x14ac:dyDescent="0.25">
      <c r="A5" s="78">
        <v>2</v>
      </c>
      <c r="B5" s="83" t="s">
        <v>549</v>
      </c>
      <c r="C5" s="83" t="s">
        <v>549</v>
      </c>
      <c r="D5" s="82" t="s">
        <v>604</v>
      </c>
      <c r="E5" s="79"/>
      <c r="F5" s="83" t="s">
        <v>916</v>
      </c>
      <c r="G5" s="78"/>
      <c r="H5" s="78"/>
      <c r="I5" s="78"/>
      <c r="J5" s="78"/>
      <c r="K5" s="78"/>
      <c r="L5" s="78"/>
      <c r="M5" s="78"/>
      <c r="N5" s="78"/>
      <c r="O5" s="84" t="s">
        <v>1522</v>
      </c>
      <c r="P5" s="78"/>
      <c r="Q5" s="78"/>
      <c r="S5" s="57" t="s">
        <v>400</v>
      </c>
      <c r="T5" s="57" t="s">
        <v>401</v>
      </c>
      <c r="U5" s="57" t="s">
        <v>223</v>
      </c>
      <c r="V5" s="7" t="s">
        <v>192</v>
      </c>
      <c r="W5" s="122" t="s">
        <v>1618</v>
      </c>
      <c r="X5" t="str">
        <f t="shared" ref="X5:X9" si="0">UPPER(S5)</f>
        <v>PHÒNG PHÂN TÍCH MÔI TRƯỜNG</v>
      </c>
    </row>
    <row r="6" spans="1:24" ht="15" x14ac:dyDescent="0.25">
      <c r="A6" s="78">
        <v>3</v>
      </c>
      <c r="B6" s="83" t="s">
        <v>549</v>
      </c>
      <c r="C6" s="83" t="s">
        <v>549</v>
      </c>
      <c r="D6" s="83" t="s">
        <v>605</v>
      </c>
      <c r="E6" s="79"/>
      <c r="F6" s="83" t="s">
        <v>916</v>
      </c>
      <c r="G6" s="78"/>
      <c r="H6" s="78"/>
      <c r="I6" s="78"/>
      <c r="J6" s="78"/>
      <c r="K6" s="78"/>
      <c r="L6" s="78"/>
      <c r="M6" s="78"/>
      <c r="N6" s="78"/>
      <c r="O6" s="84" t="s">
        <v>1107</v>
      </c>
      <c r="P6" s="78"/>
      <c r="Q6" s="78"/>
      <c r="S6" s="57" t="s">
        <v>402</v>
      </c>
      <c r="T6" s="57" t="s">
        <v>403</v>
      </c>
      <c r="U6" s="57" t="s">
        <v>404</v>
      </c>
      <c r="V6" s="7" t="s">
        <v>192</v>
      </c>
      <c r="W6" s="122" t="s">
        <v>1618</v>
      </c>
      <c r="X6" t="str">
        <f t="shared" si="0"/>
        <v>PHÒNG Y SINH NHIỆT ĐỚI</v>
      </c>
    </row>
    <row r="7" spans="1:24" ht="15" x14ac:dyDescent="0.25">
      <c r="A7" s="78">
        <v>4</v>
      </c>
      <c r="B7" s="83" t="s">
        <v>549</v>
      </c>
      <c r="C7" s="83" t="s">
        <v>549</v>
      </c>
      <c r="D7" s="83" t="s">
        <v>606</v>
      </c>
      <c r="E7" s="79"/>
      <c r="F7" s="83" t="s">
        <v>916</v>
      </c>
      <c r="G7" s="78"/>
      <c r="H7" s="78"/>
      <c r="I7" s="78"/>
      <c r="J7" s="78"/>
      <c r="K7" s="78"/>
      <c r="L7" s="78"/>
      <c r="M7" s="78"/>
      <c r="N7" s="78"/>
      <c r="O7" s="84" t="s">
        <v>1108</v>
      </c>
      <c r="P7" s="78"/>
      <c r="Q7" s="78"/>
      <c r="S7" s="58" t="s">
        <v>405</v>
      </c>
      <c r="T7" s="58" t="s">
        <v>406</v>
      </c>
      <c r="U7" s="58" t="s">
        <v>407</v>
      </c>
      <c r="V7" s="7" t="s">
        <v>192</v>
      </c>
      <c r="W7" s="122" t="s">
        <v>1618</v>
      </c>
      <c r="X7" t="str">
        <f t="shared" si="0"/>
        <v>PHÒNG SINH THÁI NƯỚC</v>
      </c>
    </row>
    <row r="8" spans="1:24" ht="15" x14ac:dyDescent="0.25">
      <c r="A8" s="78">
        <v>5</v>
      </c>
      <c r="B8" s="83" t="s">
        <v>549</v>
      </c>
      <c r="C8" s="83" t="s">
        <v>549</v>
      </c>
      <c r="D8" s="83" t="s">
        <v>607</v>
      </c>
      <c r="E8" s="79"/>
      <c r="F8" s="83" t="s">
        <v>916</v>
      </c>
      <c r="G8" s="78"/>
      <c r="H8" s="78"/>
      <c r="I8" s="78"/>
      <c r="J8" s="78"/>
      <c r="K8" s="78"/>
      <c r="L8" s="78"/>
      <c r="M8" s="78"/>
      <c r="N8" s="78"/>
      <c r="O8" s="84" t="s">
        <v>1109</v>
      </c>
      <c r="P8" s="78"/>
      <c r="Q8" s="78"/>
      <c r="S8" s="58" t="s">
        <v>408</v>
      </c>
      <c r="T8" s="58" t="s">
        <v>409</v>
      </c>
      <c r="U8" s="58" t="s">
        <v>410</v>
      </c>
      <c r="V8" s="7" t="s">
        <v>192</v>
      </c>
      <c r="W8" s="122" t="s">
        <v>1618</v>
      </c>
      <c r="X8" t="str">
        <f t="shared" si="0"/>
        <v>PHÒNG SINH THÁI CẠN</v>
      </c>
    </row>
    <row r="9" spans="1:24" ht="15" x14ac:dyDescent="0.25">
      <c r="A9" s="78">
        <v>6</v>
      </c>
      <c r="B9" s="85" t="s">
        <v>550</v>
      </c>
      <c r="C9" s="85" t="s">
        <v>550</v>
      </c>
      <c r="D9" s="86" t="s">
        <v>608</v>
      </c>
      <c r="E9" s="79"/>
      <c r="F9" s="83" t="s">
        <v>917</v>
      </c>
      <c r="G9" s="78"/>
      <c r="H9" s="78"/>
      <c r="I9" s="78"/>
      <c r="J9" s="78"/>
      <c r="K9" s="78"/>
      <c r="L9" s="78"/>
      <c r="M9" s="78"/>
      <c r="N9" s="78"/>
      <c r="O9" s="84" t="s">
        <v>1110</v>
      </c>
      <c r="P9" s="78"/>
      <c r="Q9" s="78"/>
      <c r="S9" s="58" t="s">
        <v>68</v>
      </c>
      <c r="T9" s="58" t="s">
        <v>497</v>
      </c>
      <c r="U9" s="58" t="s">
        <v>230</v>
      </c>
      <c r="V9" s="7" t="s">
        <v>192</v>
      </c>
      <c r="W9" s="122" t="s">
        <v>1618</v>
      </c>
      <c r="X9" t="str">
        <f t="shared" si="0"/>
        <v>CHI NHÁNH PHÍA NAM</v>
      </c>
    </row>
    <row r="10" spans="1:24" ht="15" x14ac:dyDescent="0.25">
      <c r="A10" s="78">
        <v>7</v>
      </c>
      <c r="B10" s="85" t="s">
        <v>550</v>
      </c>
      <c r="C10" s="85" t="s">
        <v>550</v>
      </c>
      <c r="D10" s="83" t="s">
        <v>609</v>
      </c>
      <c r="E10" s="79"/>
      <c r="F10" s="84"/>
      <c r="G10" s="78"/>
      <c r="H10" s="78"/>
      <c r="I10" s="78"/>
      <c r="J10" s="78"/>
      <c r="K10" s="78"/>
      <c r="L10" s="78"/>
      <c r="M10" s="78"/>
      <c r="N10" s="78"/>
      <c r="O10" s="84" t="s">
        <v>1111</v>
      </c>
      <c r="P10" s="78"/>
      <c r="Q10" s="78"/>
    </row>
    <row r="11" spans="1:24" ht="15" x14ac:dyDescent="0.25">
      <c r="A11" s="78">
        <v>8</v>
      </c>
      <c r="B11" s="85" t="s">
        <v>550</v>
      </c>
      <c r="C11" s="85" t="s">
        <v>550</v>
      </c>
      <c r="D11" s="83" t="s">
        <v>610</v>
      </c>
      <c r="E11" s="79"/>
      <c r="F11" s="84"/>
      <c r="G11" s="78"/>
      <c r="H11" s="78"/>
      <c r="I11" s="78"/>
      <c r="J11" s="78"/>
      <c r="K11" s="78"/>
      <c r="L11" s="78"/>
      <c r="M11" s="78"/>
      <c r="N11" s="78"/>
      <c r="O11" s="84" t="s">
        <v>1112</v>
      </c>
      <c r="P11" s="78"/>
      <c r="Q11" s="78"/>
    </row>
    <row r="12" spans="1:24" ht="15" x14ac:dyDescent="0.25">
      <c r="A12" s="78">
        <v>9</v>
      </c>
      <c r="B12" s="85" t="s">
        <v>550</v>
      </c>
      <c r="C12" s="85" t="s">
        <v>550</v>
      </c>
      <c r="D12" s="83" t="s">
        <v>611</v>
      </c>
      <c r="E12" s="79"/>
      <c r="F12" s="84"/>
      <c r="G12" s="78"/>
      <c r="H12" s="78"/>
      <c r="I12" s="78"/>
      <c r="J12" s="78"/>
      <c r="K12" s="78"/>
      <c r="L12" s="78"/>
      <c r="M12" s="78"/>
      <c r="N12" s="78"/>
      <c r="O12" s="84" t="s">
        <v>1113</v>
      </c>
      <c r="P12" s="78"/>
      <c r="Q12" s="78"/>
    </row>
    <row r="13" spans="1:24" ht="15" x14ac:dyDescent="0.25">
      <c r="A13" s="78">
        <v>10</v>
      </c>
      <c r="B13" s="85" t="s">
        <v>550</v>
      </c>
      <c r="C13" s="82" t="s">
        <v>568</v>
      </c>
      <c r="D13" s="83" t="s">
        <v>612</v>
      </c>
      <c r="E13" s="79"/>
      <c r="F13" s="84"/>
      <c r="G13" s="78"/>
      <c r="H13" s="78"/>
      <c r="I13" s="78"/>
      <c r="J13" s="78"/>
      <c r="K13" s="78"/>
      <c r="L13" s="78"/>
      <c r="M13" s="78"/>
      <c r="N13" s="78"/>
      <c r="O13" s="84" t="s">
        <v>1114</v>
      </c>
      <c r="P13" s="78"/>
      <c r="Q13" s="78"/>
    </row>
    <row r="14" spans="1:24" ht="15" x14ac:dyDescent="0.25">
      <c r="A14" s="78">
        <v>11</v>
      </c>
      <c r="B14" s="85" t="s">
        <v>550</v>
      </c>
      <c r="C14" s="82" t="s">
        <v>568</v>
      </c>
      <c r="D14" s="83" t="s">
        <v>613</v>
      </c>
      <c r="E14" s="79"/>
      <c r="F14" s="84"/>
      <c r="G14" s="78"/>
      <c r="H14" s="78"/>
      <c r="I14" s="78"/>
      <c r="J14" s="78"/>
      <c r="K14" s="78"/>
      <c r="L14" s="78"/>
      <c r="M14" s="78"/>
      <c r="N14" s="78"/>
      <c r="O14" s="84" t="s">
        <v>1115</v>
      </c>
      <c r="P14" s="78"/>
      <c r="Q14" s="78"/>
    </row>
    <row r="15" spans="1:24" ht="15" x14ac:dyDescent="0.25">
      <c r="A15" s="78">
        <v>12</v>
      </c>
      <c r="B15" s="85" t="s">
        <v>550</v>
      </c>
      <c r="C15" s="82" t="s">
        <v>568</v>
      </c>
      <c r="D15" s="79" t="s">
        <v>614</v>
      </c>
      <c r="E15" s="79"/>
      <c r="F15" s="84"/>
      <c r="G15" s="78"/>
      <c r="H15" s="78"/>
      <c r="I15" s="78"/>
      <c r="J15" s="78"/>
      <c r="K15" s="78"/>
      <c r="L15" s="78"/>
      <c r="M15" s="78"/>
      <c r="N15" s="78"/>
      <c r="O15" s="84" t="s">
        <v>1116</v>
      </c>
      <c r="P15" s="78"/>
      <c r="Q15" s="78"/>
    </row>
    <row r="16" spans="1:24" ht="15" x14ac:dyDescent="0.25">
      <c r="A16" s="78">
        <v>13</v>
      </c>
      <c r="B16" s="85" t="s">
        <v>550</v>
      </c>
      <c r="C16" s="82" t="s">
        <v>569</v>
      </c>
      <c r="D16" s="83" t="s">
        <v>615</v>
      </c>
      <c r="E16" s="79"/>
      <c r="F16" s="84"/>
      <c r="G16" s="78"/>
      <c r="H16" s="78"/>
      <c r="I16" s="78"/>
      <c r="J16" s="78"/>
      <c r="K16" s="78"/>
      <c r="L16" s="78"/>
      <c r="M16" s="78"/>
      <c r="N16" s="78"/>
      <c r="O16" s="84" t="s">
        <v>1117</v>
      </c>
      <c r="P16" s="78"/>
      <c r="Q16" s="78"/>
    </row>
    <row r="17" spans="1:17" ht="15" x14ac:dyDescent="0.25">
      <c r="A17" s="78">
        <v>14</v>
      </c>
      <c r="B17" s="85" t="s">
        <v>550</v>
      </c>
      <c r="C17" s="82" t="s">
        <v>569</v>
      </c>
      <c r="D17" s="83" t="s">
        <v>616</v>
      </c>
      <c r="E17" s="79"/>
      <c r="F17" s="84"/>
      <c r="G17" s="78"/>
      <c r="H17" s="78"/>
      <c r="I17" s="78"/>
      <c r="J17" s="78"/>
      <c r="K17" s="78"/>
      <c r="L17" s="78"/>
      <c r="M17" s="78"/>
      <c r="N17" s="78"/>
      <c r="O17" s="84" t="s">
        <v>1118</v>
      </c>
      <c r="P17" s="78"/>
      <c r="Q17" s="78"/>
    </row>
    <row r="18" spans="1:17" ht="15" x14ac:dyDescent="0.25">
      <c r="A18" s="78">
        <v>15</v>
      </c>
      <c r="B18" s="85" t="s">
        <v>550</v>
      </c>
      <c r="C18" s="82" t="s">
        <v>569</v>
      </c>
      <c r="D18" s="83" t="s">
        <v>617</v>
      </c>
      <c r="E18" s="79"/>
      <c r="F18" s="84"/>
      <c r="G18" s="78"/>
      <c r="H18" s="78"/>
      <c r="I18" s="78"/>
      <c r="J18" s="78"/>
      <c r="K18" s="78"/>
      <c r="L18" s="78"/>
      <c r="M18" s="78"/>
      <c r="N18" s="78"/>
      <c r="O18" s="84" t="s">
        <v>1119</v>
      </c>
      <c r="P18" s="78"/>
      <c r="Q18" s="78"/>
    </row>
    <row r="19" spans="1:17" ht="15" x14ac:dyDescent="0.25">
      <c r="A19" s="78">
        <v>16</v>
      </c>
      <c r="B19" s="85" t="s">
        <v>550</v>
      </c>
      <c r="C19" s="82" t="s">
        <v>569</v>
      </c>
      <c r="D19" s="83" t="s">
        <v>618</v>
      </c>
      <c r="E19" s="79"/>
      <c r="F19" s="84"/>
      <c r="G19" s="78"/>
      <c r="H19" s="78"/>
      <c r="I19" s="78"/>
      <c r="J19" s="78"/>
      <c r="K19" s="78"/>
      <c r="L19" s="78"/>
      <c r="M19" s="78"/>
      <c r="N19" s="78"/>
      <c r="O19" s="84" t="s">
        <v>1120</v>
      </c>
      <c r="P19" s="78"/>
      <c r="Q19" s="78"/>
    </row>
    <row r="20" spans="1:17" ht="15" x14ac:dyDescent="0.25">
      <c r="A20" s="78">
        <v>17</v>
      </c>
      <c r="B20" s="85" t="s">
        <v>550</v>
      </c>
      <c r="C20" s="82" t="s">
        <v>570</v>
      </c>
      <c r="D20" s="83" t="s">
        <v>619</v>
      </c>
      <c r="E20" s="79"/>
      <c r="F20" s="84"/>
      <c r="G20" s="78"/>
      <c r="H20" s="78"/>
      <c r="I20" s="78"/>
      <c r="J20" s="78"/>
      <c r="K20" s="78"/>
      <c r="L20" s="78"/>
      <c r="M20" s="78"/>
      <c r="N20" s="78"/>
      <c r="O20" s="84" t="s">
        <v>1121</v>
      </c>
      <c r="P20" s="78"/>
      <c r="Q20" s="78"/>
    </row>
    <row r="21" spans="1:17" ht="15" x14ac:dyDescent="0.25">
      <c r="A21" s="78">
        <v>18</v>
      </c>
      <c r="B21" s="85" t="s">
        <v>550</v>
      </c>
      <c r="C21" s="82" t="s">
        <v>571</v>
      </c>
      <c r="D21" s="83" t="s">
        <v>620</v>
      </c>
      <c r="E21" s="79"/>
      <c r="F21" s="84"/>
      <c r="G21" s="78"/>
      <c r="H21" s="78"/>
      <c r="I21" s="78"/>
      <c r="J21" s="78"/>
      <c r="K21" s="78"/>
      <c r="L21" s="78"/>
      <c r="M21" s="78"/>
      <c r="N21" s="78"/>
      <c r="O21" s="84" t="s">
        <v>1122</v>
      </c>
      <c r="P21" s="78"/>
      <c r="Q21" s="78"/>
    </row>
    <row r="22" spans="1:17" ht="15" x14ac:dyDescent="0.25">
      <c r="A22" s="78">
        <v>19</v>
      </c>
      <c r="B22" s="85" t="s">
        <v>550</v>
      </c>
      <c r="C22" s="82" t="s">
        <v>572</v>
      </c>
      <c r="D22" s="83" t="s">
        <v>621</v>
      </c>
      <c r="E22" s="79"/>
      <c r="F22" s="84"/>
      <c r="G22" s="78"/>
      <c r="H22" s="78"/>
      <c r="I22" s="78"/>
      <c r="J22" s="78"/>
      <c r="K22" s="78"/>
      <c r="L22" s="78"/>
      <c r="M22" s="78"/>
      <c r="N22" s="78"/>
      <c r="O22" s="84" t="s">
        <v>1123</v>
      </c>
      <c r="P22" s="78"/>
      <c r="Q22" s="78"/>
    </row>
    <row r="23" spans="1:17" ht="15" x14ac:dyDescent="0.25">
      <c r="A23" s="78">
        <v>20</v>
      </c>
      <c r="B23" s="85" t="s">
        <v>550</v>
      </c>
      <c r="C23" s="82" t="s">
        <v>572</v>
      </c>
      <c r="D23" s="83" t="s">
        <v>622</v>
      </c>
      <c r="E23" s="79"/>
      <c r="F23" s="84"/>
      <c r="G23" s="78"/>
      <c r="H23" s="78"/>
      <c r="I23" s="78"/>
      <c r="J23" s="78"/>
      <c r="K23" s="78"/>
      <c r="L23" s="78"/>
      <c r="M23" s="78"/>
      <c r="N23" s="78"/>
      <c r="O23" s="84" t="s">
        <v>1124</v>
      </c>
      <c r="P23" s="78"/>
      <c r="Q23" s="78"/>
    </row>
    <row r="24" spans="1:17" ht="15" x14ac:dyDescent="0.25">
      <c r="A24" s="78">
        <v>21</v>
      </c>
      <c r="B24" s="85" t="s">
        <v>550</v>
      </c>
      <c r="C24" s="82" t="s">
        <v>572</v>
      </c>
      <c r="D24" s="83" t="s">
        <v>623</v>
      </c>
      <c r="E24" s="79"/>
      <c r="F24" s="84"/>
      <c r="G24" s="78"/>
      <c r="H24" s="78"/>
      <c r="I24" s="78"/>
      <c r="J24" s="78"/>
      <c r="K24" s="78"/>
      <c r="L24" s="78"/>
      <c r="M24" s="78"/>
      <c r="N24" s="78"/>
      <c r="O24" s="84" t="s">
        <v>1125</v>
      </c>
      <c r="P24" s="78"/>
      <c r="Q24" s="78"/>
    </row>
    <row r="25" spans="1:17" ht="30" x14ac:dyDescent="0.25">
      <c r="A25" s="78">
        <v>22</v>
      </c>
      <c r="B25" s="85" t="s">
        <v>550</v>
      </c>
      <c r="C25" s="82" t="s">
        <v>573</v>
      </c>
      <c r="D25" s="80" t="s">
        <v>624</v>
      </c>
      <c r="E25" s="79"/>
      <c r="F25" s="81"/>
      <c r="G25" s="78"/>
      <c r="H25" s="78"/>
      <c r="I25" s="78"/>
      <c r="J25" s="78"/>
      <c r="K25" s="78"/>
      <c r="L25" s="78"/>
      <c r="M25" s="78"/>
      <c r="N25" s="78"/>
      <c r="O25" s="87" t="s">
        <v>1126</v>
      </c>
      <c r="P25" s="78"/>
      <c r="Q25" s="78"/>
    </row>
    <row r="26" spans="1:17" ht="15" x14ac:dyDescent="0.25">
      <c r="A26" s="78">
        <v>23</v>
      </c>
      <c r="B26" s="85" t="s">
        <v>550</v>
      </c>
      <c r="C26" s="82" t="s">
        <v>573</v>
      </c>
      <c r="D26" s="83" t="s">
        <v>625</v>
      </c>
      <c r="E26" s="79"/>
      <c r="F26" s="84"/>
      <c r="G26" s="78"/>
      <c r="H26" s="78"/>
      <c r="I26" s="78"/>
      <c r="J26" s="78"/>
      <c r="K26" s="78"/>
      <c r="L26" s="78"/>
      <c r="M26" s="78"/>
      <c r="N26" s="78"/>
      <c r="O26" s="84" t="s">
        <v>1127</v>
      </c>
      <c r="P26" s="78"/>
      <c r="Q26" s="78"/>
    </row>
    <row r="27" spans="1:17" ht="15" x14ac:dyDescent="0.25">
      <c r="A27" s="78">
        <v>24</v>
      </c>
      <c r="B27" s="85" t="s">
        <v>550</v>
      </c>
      <c r="C27" s="82" t="s">
        <v>573</v>
      </c>
      <c r="D27" s="83" t="s">
        <v>626</v>
      </c>
      <c r="E27" s="79"/>
      <c r="F27" s="84"/>
      <c r="G27" s="78"/>
      <c r="H27" s="78"/>
      <c r="I27" s="78"/>
      <c r="J27" s="78"/>
      <c r="K27" s="78"/>
      <c r="L27" s="78"/>
      <c r="M27" s="78"/>
      <c r="N27" s="78"/>
      <c r="O27" s="84" t="s">
        <v>1128</v>
      </c>
      <c r="P27" s="78"/>
      <c r="Q27" s="78"/>
    </row>
    <row r="28" spans="1:17" ht="15" x14ac:dyDescent="0.25">
      <c r="A28" s="78">
        <v>25</v>
      </c>
      <c r="B28" s="85" t="s">
        <v>550</v>
      </c>
      <c r="C28" s="82" t="s">
        <v>573</v>
      </c>
      <c r="D28" s="83" t="s">
        <v>627</v>
      </c>
      <c r="E28" s="79"/>
      <c r="F28" s="84"/>
      <c r="G28" s="78"/>
      <c r="H28" s="78"/>
      <c r="I28" s="78"/>
      <c r="J28" s="78"/>
      <c r="K28" s="78"/>
      <c r="L28" s="78"/>
      <c r="M28" s="78"/>
      <c r="N28" s="78"/>
      <c r="O28" s="84" t="s">
        <v>1129</v>
      </c>
      <c r="P28" s="78"/>
      <c r="Q28" s="78"/>
    </row>
    <row r="29" spans="1:17" ht="15" x14ac:dyDescent="0.25">
      <c r="A29" s="78">
        <v>26</v>
      </c>
      <c r="B29" s="85" t="s">
        <v>550</v>
      </c>
      <c r="C29" s="82" t="s">
        <v>573</v>
      </c>
      <c r="D29" s="83" t="s">
        <v>628</v>
      </c>
      <c r="E29" s="79"/>
      <c r="F29" s="84"/>
      <c r="G29" s="78"/>
      <c r="H29" s="78"/>
      <c r="I29" s="78"/>
      <c r="J29" s="78"/>
      <c r="K29" s="78"/>
      <c r="L29" s="78"/>
      <c r="M29" s="78"/>
      <c r="N29" s="78"/>
      <c r="O29" s="84" t="s">
        <v>1130</v>
      </c>
      <c r="P29" s="78"/>
      <c r="Q29" s="78"/>
    </row>
    <row r="30" spans="1:17" ht="15" x14ac:dyDescent="0.25">
      <c r="A30" s="78">
        <v>27</v>
      </c>
      <c r="B30" s="85" t="s">
        <v>550</v>
      </c>
      <c r="C30" s="82" t="s">
        <v>573</v>
      </c>
      <c r="D30" s="83" t="s">
        <v>629</v>
      </c>
      <c r="E30" s="79"/>
      <c r="F30" s="84"/>
      <c r="G30" s="78"/>
      <c r="H30" s="78"/>
      <c r="I30" s="78"/>
      <c r="J30" s="78"/>
      <c r="K30" s="78"/>
      <c r="L30" s="78"/>
      <c r="M30" s="78"/>
      <c r="N30" s="78"/>
      <c r="O30" s="84" t="s">
        <v>1131</v>
      </c>
      <c r="P30" s="78"/>
      <c r="Q30" s="78"/>
    </row>
    <row r="31" spans="1:17" ht="15" x14ac:dyDescent="0.25">
      <c r="A31" s="78">
        <v>28</v>
      </c>
      <c r="B31" s="85" t="s">
        <v>550</v>
      </c>
      <c r="C31" s="82" t="s">
        <v>574</v>
      </c>
      <c r="D31" s="82" t="s">
        <v>630</v>
      </c>
      <c r="E31" s="79"/>
      <c r="F31" s="84"/>
      <c r="G31" s="78"/>
      <c r="H31" s="78"/>
      <c r="I31" s="78"/>
      <c r="J31" s="78"/>
      <c r="K31" s="78"/>
      <c r="L31" s="78"/>
      <c r="M31" s="78"/>
      <c r="N31" s="78"/>
      <c r="O31" s="85" t="s">
        <v>1132</v>
      </c>
      <c r="P31" s="78"/>
      <c r="Q31" s="78"/>
    </row>
    <row r="32" spans="1:17" ht="15" x14ac:dyDescent="0.25">
      <c r="A32" s="78">
        <v>29</v>
      </c>
      <c r="B32" s="85" t="s">
        <v>550</v>
      </c>
      <c r="C32" s="82" t="s">
        <v>574</v>
      </c>
      <c r="D32" s="80" t="s">
        <v>631</v>
      </c>
      <c r="E32" s="79"/>
      <c r="F32" s="84"/>
      <c r="G32" s="78"/>
      <c r="H32" s="78"/>
      <c r="I32" s="78"/>
      <c r="J32" s="78"/>
      <c r="K32" s="78"/>
      <c r="L32" s="78"/>
      <c r="M32" s="78"/>
      <c r="N32" s="78"/>
      <c r="O32" s="81" t="s">
        <v>1133</v>
      </c>
      <c r="P32" s="78"/>
      <c r="Q32" s="78"/>
    </row>
    <row r="33" spans="1:17" ht="15" x14ac:dyDescent="0.25">
      <c r="A33" s="78">
        <v>30</v>
      </c>
      <c r="B33" s="85" t="s">
        <v>550</v>
      </c>
      <c r="C33" s="82" t="s">
        <v>574</v>
      </c>
      <c r="D33" s="83" t="s">
        <v>632</v>
      </c>
      <c r="E33" s="79"/>
      <c r="F33" s="84"/>
      <c r="G33" s="78"/>
      <c r="H33" s="78"/>
      <c r="I33" s="78"/>
      <c r="J33" s="78"/>
      <c r="K33" s="78"/>
      <c r="L33" s="78"/>
      <c r="M33" s="78"/>
      <c r="N33" s="78"/>
      <c r="O33" s="84" t="s">
        <v>1134</v>
      </c>
      <c r="P33" s="78"/>
      <c r="Q33" s="78"/>
    </row>
    <row r="34" spans="1:17" ht="15" x14ac:dyDescent="0.25">
      <c r="A34" s="78">
        <v>31</v>
      </c>
      <c r="B34" s="85" t="s">
        <v>550</v>
      </c>
      <c r="C34" s="82" t="s">
        <v>574</v>
      </c>
      <c r="D34" s="83" t="s">
        <v>633</v>
      </c>
      <c r="E34" s="79"/>
      <c r="F34" s="84"/>
      <c r="G34" s="78"/>
      <c r="H34" s="78"/>
      <c r="I34" s="78"/>
      <c r="J34" s="78"/>
      <c r="K34" s="78"/>
      <c r="L34" s="78"/>
      <c r="M34" s="78"/>
      <c r="N34" s="78"/>
      <c r="O34" s="84" t="s">
        <v>1135</v>
      </c>
      <c r="P34" s="78"/>
      <c r="Q34" s="78"/>
    </row>
    <row r="35" spans="1:17" ht="15" x14ac:dyDescent="0.25">
      <c r="A35" s="78">
        <v>32</v>
      </c>
      <c r="B35" s="82" t="s">
        <v>551</v>
      </c>
      <c r="C35" s="82" t="s">
        <v>551</v>
      </c>
      <c r="D35" s="83" t="s">
        <v>634</v>
      </c>
      <c r="E35" s="79"/>
      <c r="F35" s="84"/>
      <c r="G35" s="78"/>
      <c r="H35" s="78"/>
      <c r="I35" s="78"/>
      <c r="J35" s="78"/>
      <c r="K35" s="78"/>
      <c r="L35" s="78"/>
      <c r="M35" s="78"/>
      <c r="N35" s="78"/>
      <c r="O35" s="84" t="s">
        <v>1136</v>
      </c>
      <c r="P35" s="78"/>
      <c r="Q35" s="78"/>
    </row>
    <row r="36" spans="1:17" ht="15" x14ac:dyDescent="0.25">
      <c r="A36" s="78">
        <v>33</v>
      </c>
      <c r="B36" s="82" t="s">
        <v>551</v>
      </c>
      <c r="C36" s="82" t="s">
        <v>551</v>
      </c>
      <c r="D36" s="83" t="s">
        <v>635</v>
      </c>
      <c r="E36" s="79"/>
      <c r="F36" s="84"/>
      <c r="G36" s="78"/>
      <c r="H36" s="78"/>
      <c r="I36" s="78"/>
      <c r="J36" s="78"/>
      <c r="K36" s="78"/>
      <c r="L36" s="78"/>
      <c r="M36" s="78"/>
      <c r="N36" s="78"/>
      <c r="O36" s="84" t="s">
        <v>1137</v>
      </c>
      <c r="P36" s="78"/>
      <c r="Q36" s="78"/>
    </row>
    <row r="37" spans="1:17" ht="15" x14ac:dyDescent="0.25">
      <c r="A37" s="78">
        <v>34</v>
      </c>
      <c r="B37" s="82" t="s">
        <v>551</v>
      </c>
      <c r="C37" s="82" t="s">
        <v>551</v>
      </c>
      <c r="D37" s="83" t="s">
        <v>636</v>
      </c>
      <c r="E37" s="79"/>
      <c r="F37" s="84"/>
      <c r="G37" s="78"/>
      <c r="H37" s="78"/>
      <c r="I37" s="78"/>
      <c r="J37" s="78"/>
      <c r="K37" s="78"/>
      <c r="L37" s="78"/>
      <c r="M37" s="78"/>
      <c r="N37" s="78"/>
      <c r="O37" s="84" t="s">
        <v>1138</v>
      </c>
      <c r="P37" s="78"/>
      <c r="Q37" s="78"/>
    </row>
    <row r="38" spans="1:17" ht="15" x14ac:dyDescent="0.25">
      <c r="A38" s="78">
        <v>35</v>
      </c>
      <c r="B38" s="82" t="s">
        <v>551</v>
      </c>
      <c r="C38" s="82" t="s">
        <v>551</v>
      </c>
      <c r="D38" s="83" t="s">
        <v>637</v>
      </c>
      <c r="E38" s="79"/>
      <c r="F38" s="84"/>
      <c r="G38" s="78"/>
      <c r="H38" s="78"/>
      <c r="I38" s="78"/>
      <c r="J38" s="78"/>
      <c r="K38" s="78"/>
      <c r="L38" s="78"/>
      <c r="M38" s="78"/>
      <c r="N38" s="78"/>
      <c r="O38" s="84" t="s">
        <v>1139</v>
      </c>
      <c r="P38" s="78"/>
      <c r="Q38" s="78"/>
    </row>
    <row r="39" spans="1:17" ht="15" x14ac:dyDescent="0.25">
      <c r="A39" s="78">
        <v>36</v>
      </c>
      <c r="B39" s="82" t="s">
        <v>551</v>
      </c>
      <c r="C39" s="82" t="s">
        <v>551</v>
      </c>
      <c r="D39" s="83" t="s">
        <v>638</v>
      </c>
      <c r="E39" s="79"/>
      <c r="F39" s="84"/>
      <c r="G39" s="78"/>
      <c r="H39" s="78"/>
      <c r="I39" s="78"/>
      <c r="J39" s="78"/>
      <c r="K39" s="78"/>
      <c r="L39" s="78"/>
      <c r="M39" s="78"/>
      <c r="N39" s="78"/>
      <c r="O39" s="84" t="s">
        <v>1140</v>
      </c>
      <c r="P39" s="78"/>
      <c r="Q39" s="78"/>
    </row>
    <row r="40" spans="1:17" ht="30" x14ac:dyDescent="0.25">
      <c r="A40" s="78">
        <v>37</v>
      </c>
      <c r="B40" s="82" t="s">
        <v>552</v>
      </c>
      <c r="C40" s="82" t="s">
        <v>552</v>
      </c>
      <c r="D40" s="88" t="s">
        <v>639</v>
      </c>
      <c r="E40" s="79"/>
      <c r="F40" s="83"/>
      <c r="G40" s="78"/>
      <c r="H40" s="78"/>
      <c r="I40" s="78"/>
      <c r="J40" s="78"/>
      <c r="K40" s="78"/>
      <c r="L40" s="78"/>
      <c r="M40" s="78"/>
      <c r="N40" s="78"/>
      <c r="O40" s="87" t="s">
        <v>1141</v>
      </c>
      <c r="P40" s="78"/>
      <c r="Q40" s="78"/>
    </row>
    <row r="41" spans="1:17" ht="15" x14ac:dyDescent="0.25">
      <c r="A41" s="78">
        <v>38</v>
      </c>
      <c r="B41" s="82" t="s">
        <v>553</v>
      </c>
      <c r="C41" s="82" t="s">
        <v>553</v>
      </c>
      <c r="D41" s="88" t="s">
        <v>640</v>
      </c>
      <c r="E41" s="79"/>
      <c r="F41" s="89"/>
      <c r="G41" s="78"/>
      <c r="H41" s="78"/>
      <c r="I41" s="78"/>
      <c r="J41" s="78"/>
      <c r="K41" s="78"/>
      <c r="L41" s="78"/>
      <c r="M41" s="78"/>
      <c r="N41" s="78"/>
      <c r="O41" s="84" t="s">
        <v>1142</v>
      </c>
      <c r="P41" s="78"/>
      <c r="Q41" s="78"/>
    </row>
    <row r="42" spans="1:17" ht="15" x14ac:dyDescent="0.25">
      <c r="A42" s="78">
        <v>39</v>
      </c>
      <c r="B42" s="82" t="s">
        <v>554</v>
      </c>
      <c r="C42" s="82" t="s">
        <v>554</v>
      </c>
      <c r="D42" s="83" t="s">
        <v>641</v>
      </c>
      <c r="E42" s="79"/>
      <c r="F42" s="83"/>
      <c r="G42" s="78"/>
      <c r="H42" s="78"/>
      <c r="I42" s="78"/>
      <c r="J42" s="78"/>
      <c r="K42" s="78"/>
      <c r="L42" s="78"/>
      <c r="M42" s="78"/>
      <c r="N42" s="78"/>
      <c r="O42" s="84" t="s">
        <v>1143</v>
      </c>
      <c r="P42" s="78"/>
      <c r="Q42" s="78"/>
    </row>
    <row r="43" spans="1:17" ht="20.25" customHeight="1" x14ac:dyDescent="0.25">
      <c r="A43" s="78">
        <v>40</v>
      </c>
      <c r="B43" s="82" t="s">
        <v>554</v>
      </c>
      <c r="C43" s="82" t="s">
        <v>554</v>
      </c>
      <c r="D43" s="83" t="s">
        <v>642</v>
      </c>
      <c r="E43" s="79"/>
      <c r="F43" s="83"/>
      <c r="G43" s="78"/>
      <c r="H43" s="78"/>
      <c r="I43" s="78"/>
      <c r="J43" s="78"/>
      <c r="K43" s="78"/>
      <c r="L43" s="78"/>
      <c r="M43" s="78"/>
      <c r="N43" s="78"/>
      <c r="O43" s="84" t="s">
        <v>1144</v>
      </c>
      <c r="P43" s="78"/>
      <c r="Q43" s="78"/>
    </row>
    <row r="44" spans="1:17" ht="15" x14ac:dyDescent="0.25">
      <c r="A44" s="78">
        <v>41</v>
      </c>
      <c r="B44" s="82" t="s">
        <v>554</v>
      </c>
      <c r="C44" s="82" t="s">
        <v>554</v>
      </c>
      <c r="D44" s="83" t="s">
        <v>643</v>
      </c>
      <c r="E44" s="79"/>
      <c r="F44" s="83"/>
      <c r="G44" s="78"/>
      <c r="H44" s="78"/>
      <c r="I44" s="78"/>
      <c r="J44" s="78"/>
      <c r="K44" s="78"/>
      <c r="L44" s="78"/>
      <c r="M44" s="78"/>
      <c r="N44" s="78"/>
      <c r="O44" s="84" t="s">
        <v>1145</v>
      </c>
      <c r="P44" s="78"/>
      <c r="Q44" s="78"/>
    </row>
    <row r="45" spans="1:17" ht="15" x14ac:dyDescent="0.25">
      <c r="A45" s="78">
        <v>42</v>
      </c>
      <c r="B45" s="82" t="s">
        <v>554</v>
      </c>
      <c r="C45" s="82" t="s">
        <v>575</v>
      </c>
      <c r="D45" s="97" t="s">
        <v>644</v>
      </c>
      <c r="E45" s="79"/>
      <c r="F45" s="84"/>
      <c r="G45" s="78"/>
      <c r="H45" s="78"/>
      <c r="I45" s="78"/>
      <c r="J45" s="78"/>
      <c r="K45" s="78"/>
      <c r="L45" s="78"/>
      <c r="M45" s="78"/>
      <c r="N45" s="78"/>
      <c r="O45" s="84" t="s">
        <v>1146</v>
      </c>
      <c r="P45" s="78"/>
      <c r="Q45" s="78"/>
    </row>
    <row r="46" spans="1:17" ht="15" x14ac:dyDescent="0.25">
      <c r="A46" s="78">
        <v>43</v>
      </c>
      <c r="B46" s="82" t="s">
        <v>554</v>
      </c>
      <c r="C46" s="82" t="s">
        <v>575</v>
      </c>
      <c r="D46" s="97" t="s">
        <v>645</v>
      </c>
      <c r="E46" s="79"/>
      <c r="F46" s="84"/>
      <c r="G46" s="78"/>
      <c r="H46" s="78"/>
      <c r="I46" s="78"/>
      <c r="J46" s="78"/>
      <c r="K46" s="78"/>
      <c r="L46" s="78"/>
      <c r="M46" s="78"/>
      <c r="N46" s="78"/>
      <c r="O46" s="84" t="s">
        <v>1147</v>
      </c>
      <c r="P46" s="78"/>
      <c r="Q46" s="78"/>
    </row>
    <row r="47" spans="1:17" ht="15" x14ac:dyDescent="0.25">
      <c r="A47" s="78">
        <v>44</v>
      </c>
      <c r="B47" s="82" t="s">
        <v>554</v>
      </c>
      <c r="C47" s="82" t="s">
        <v>575</v>
      </c>
      <c r="D47" s="97" t="s">
        <v>646</v>
      </c>
      <c r="E47" s="79"/>
      <c r="F47" s="84"/>
      <c r="G47" s="78"/>
      <c r="H47" s="78"/>
      <c r="I47" s="78"/>
      <c r="J47" s="78"/>
      <c r="K47" s="78"/>
      <c r="L47" s="78"/>
      <c r="M47" s="78"/>
      <c r="N47" s="78"/>
      <c r="O47" s="84" t="s">
        <v>1148</v>
      </c>
      <c r="P47" s="78"/>
      <c r="Q47" s="78"/>
    </row>
    <row r="48" spans="1:17" ht="15" x14ac:dyDescent="0.25">
      <c r="A48" s="78">
        <v>45</v>
      </c>
      <c r="B48" s="82" t="s">
        <v>554</v>
      </c>
      <c r="C48" s="82" t="s">
        <v>576</v>
      </c>
      <c r="D48" s="97" t="s">
        <v>647</v>
      </c>
      <c r="E48" s="79"/>
      <c r="F48" s="88"/>
      <c r="G48" s="78"/>
      <c r="H48" s="78"/>
      <c r="I48" s="78"/>
      <c r="J48" s="78"/>
      <c r="K48" s="78"/>
      <c r="L48" s="78"/>
      <c r="M48" s="78"/>
      <c r="N48" s="78"/>
      <c r="O48" s="84" t="s">
        <v>1149</v>
      </c>
      <c r="P48" s="78"/>
      <c r="Q48" s="78"/>
    </row>
    <row r="49" spans="1:17" ht="15" x14ac:dyDescent="0.25">
      <c r="A49" s="78">
        <v>46</v>
      </c>
      <c r="B49" s="82" t="s">
        <v>554</v>
      </c>
      <c r="C49" s="82" t="s">
        <v>576</v>
      </c>
      <c r="D49" s="97" t="s">
        <v>648</v>
      </c>
      <c r="E49" s="79"/>
      <c r="F49" s="84"/>
      <c r="G49" s="78"/>
      <c r="H49" s="78"/>
      <c r="I49" s="78"/>
      <c r="J49" s="78"/>
      <c r="K49" s="78"/>
      <c r="L49" s="78"/>
      <c r="M49" s="78"/>
      <c r="N49" s="78"/>
      <c r="O49" s="84" t="s">
        <v>1150</v>
      </c>
      <c r="P49" s="78"/>
      <c r="Q49" s="78"/>
    </row>
    <row r="50" spans="1:17" ht="15" x14ac:dyDescent="0.25">
      <c r="A50" s="78">
        <v>47</v>
      </c>
      <c r="B50" s="82" t="s">
        <v>554</v>
      </c>
      <c r="C50" s="82" t="s">
        <v>576</v>
      </c>
      <c r="D50" s="97" t="s">
        <v>649</v>
      </c>
      <c r="E50" s="79"/>
      <c r="F50" s="84"/>
      <c r="G50" s="78"/>
      <c r="H50" s="78"/>
      <c r="I50" s="78"/>
      <c r="J50" s="78"/>
      <c r="K50" s="78"/>
      <c r="L50" s="78"/>
      <c r="M50" s="78"/>
      <c r="N50" s="78"/>
      <c r="O50" s="84" t="s">
        <v>1151</v>
      </c>
      <c r="P50" s="78"/>
      <c r="Q50" s="78"/>
    </row>
    <row r="51" spans="1:17" ht="15" x14ac:dyDescent="0.25">
      <c r="A51" s="78">
        <v>48</v>
      </c>
      <c r="B51" s="82" t="s">
        <v>554</v>
      </c>
      <c r="C51" s="82" t="s">
        <v>577</v>
      </c>
      <c r="D51" s="80" t="s">
        <v>650</v>
      </c>
      <c r="E51" s="79"/>
      <c r="F51" s="84"/>
      <c r="G51" s="78"/>
      <c r="H51" s="78"/>
      <c r="I51" s="78"/>
      <c r="J51" s="78"/>
      <c r="K51" s="78"/>
      <c r="L51" s="78"/>
      <c r="M51" s="78"/>
      <c r="N51" s="78"/>
      <c r="O51" s="84" t="s">
        <v>1152</v>
      </c>
      <c r="P51" s="78"/>
      <c r="Q51" s="78"/>
    </row>
    <row r="52" spans="1:17" ht="15" x14ac:dyDescent="0.25">
      <c r="A52" s="78">
        <v>49</v>
      </c>
      <c r="B52" s="82" t="s">
        <v>554</v>
      </c>
      <c r="C52" s="82" t="s">
        <v>577</v>
      </c>
      <c r="D52" s="80" t="s">
        <v>651</v>
      </c>
      <c r="E52" s="79"/>
      <c r="F52" s="84"/>
      <c r="G52" s="78"/>
      <c r="H52" s="78"/>
      <c r="I52" s="78"/>
      <c r="J52" s="78"/>
      <c r="K52" s="78"/>
      <c r="L52" s="78"/>
      <c r="M52" s="78"/>
      <c r="N52" s="78"/>
      <c r="O52" s="84" t="s">
        <v>1153</v>
      </c>
      <c r="P52" s="78"/>
      <c r="Q52" s="78"/>
    </row>
    <row r="53" spans="1:17" ht="15" x14ac:dyDescent="0.25">
      <c r="A53" s="78">
        <v>50</v>
      </c>
      <c r="B53" s="82" t="s">
        <v>554</v>
      </c>
      <c r="C53" s="82" t="s">
        <v>577</v>
      </c>
      <c r="D53" s="83" t="s">
        <v>652</v>
      </c>
      <c r="E53" s="79"/>
      <c r="F53" s="84"/>
      <c r="G53" s="78"/>
      <c r="H53" s="78"/>
      <c r="I53" s="78"/>
      <c r="J53" s="78"/>
      <c r="K53" s="78"/>
      <c r="L53" s="78"/>
      <c r="M53" s="78"/>
      <c r="N53" s="78"/>
      <c r="O53" s="84" t="s">
        <v>1154</v>
      </c>
      <c r="P53" s="78"/>
      <c r="Q53" s="78"/>
    </row>
    <row r="54" spans="1:17" ht="15" x14ac:dyDescent="0.25">
      <c r="A54" s="78">
        <v>51</v>
      </c>
      <c r="B54" s="82" t="s">
        <v>554</v>
      </c>
      <c r="C54" s="82" t="s">
        <v>577</v>
      </c>
      <c r="D54" s="83" t="s">
        <v>653</v>
      </c>
      <c r="E54" s="79"/>
      <c r="F54" s="84"/>
      <c r="G54" s="78"/>
      <c r="H54" s="78"/>
      <c r="I54" s="78"/>
      <c r="J54" s="78"/>
      <c r="K54" s="78"/>
      <c r="L54" s="78"/>
      <c r="M54" s="78"/>
      <c r="N54" s="78"/>
      <c r="O54" s="84" t="s">
        <v>1155</v>
      </c>
      <c r="P54" s="78"/>
      <c r="Q54" s="78"/>
    </row>
    <row r="55" spans="1:17" ht="15" x14ac:dyDescent="0.25">
      <c r="A55" s="78">
        <v>52</v>
      </c>
      <c r="B55" s="82" t="s">
        <v>554</v>
      </c>
      <c r="C55" s="84" t="s">
        <v>1096</v>
      </c>
      <c r="D55" s="83" t="s">
        <v>654</v>
      </c>
      <c r="E55" s="79"/>
      <c r="F55" s="84"/>
      <c r="G55" s="78"/>
      <c r="H55" s="78"/>
      <c r="I55" s="78"/>
      <c r="J55" s="78"/>
      <c r="K55" s="78"/>
      <c r="L55" s="78"/>
      <c r="M55" s="78"/>
      <c r="N55" s="78"/>
      <c r="O55" s="84"/>
      <c r="P55" s="78"/>
      <c r="Q55" s="78"/>
    </row>
    <row r="56" spans="1:17" ht="15" x14ac:dyDescent="0.25">
      <c r="A56" s="78">
        <v>53</v>
      </c>
      <c r="B56" s="82" t="s">
        <v>555</v>
      </c>
      <c r="C56" s="82" t="s">
        <v>555</v>
      </c>
      <c r="D56" s="83" t="s">
        <v>655</v>
      </c>
      <c r="E56" s="79"/>
      <c r="F56" s="82" t="s">
        <v>323</v>
      </c>
      <c r="G56" s="78"/>
      <c r="H56" s="78"/>
      <c r="I56" s="78"/>
      <c r="J56" s="78"/>
      <c r="K56" s="78"/>
      <c r="L56" s="78"/>
      <c r="M56" s="78"/>
      <c r="N56" s="78"/>
      <c r="O56" s="84" t="s">
        <v>1156</v>
      </c>
      <c r="P56" s="78"/>
      <c r="Q56" s="78"/>
    </row>
    <row r="57" spans="1:17" ht="15" x14ac:dyDescent="0.25">
      <c r="A57" s="78">
        <v>54</v>
      </c>
      <c r="B57" s="82" t="s">
        <v>555</v>
      </c>
      <c r="C57" s="82" t="s">
        <v>555</v>
      </c>
      <c r="D57" s="83" t="s">
        <v>656</v>
      </c>
      <c r="E57" s="79"/>
      <c r="F57" s="82" t="s">
        <v>918</v>
      </c>
      <c r="G57" s="78"/>
      <c r="H57" s="78"/>
      <c r="I57" s="78"/>
      <c r="J57" s="78"/>
      <c r="K57" s="78"/>
      <c r="L57" s="78"/>
      <c r="M57" s="78"/>
      <c r="N57" s="78"/>
      <c r="O57" s="84" t="s">
        <v>1157</v>
      </c>
      <c r="P57" s="78"/>
      <c r="Q57" s="78"/>
    </row>
    <row r="58" spans="1:17" ht="15" x14ac:dyDescent="0.25">
      <c r="A58" s="78">
        <v>55</v>
      </c>
      <c r="B58" s="82" t="s">
        <v>555</v>
      </c>
      <c r="C58" s="82" t="s">
        <v>555</v>
      </c>
      <c r="D58" s="83" t="s">
        <v>657</v>
      </c>
      <c r="E58" s="79"/>
      <c r="F58" s="85"/>
      <c r="G58" s="78"/>
      <c r="H58" s="78"/>
      <c r="I58" s="78"/>
      <c r="J58" s="78"/>
      <c r="K58" s="78"/>
      <c r="L58" s="78"/>
      <c r="M58" s="78"/>
      <c r="N58" s="78"/>
      <c r="O58" s="84" t="s">
        <v>1158</v>
      </c>
      <c r="P58" s="78"/>
      <c r="Q58" s="78"/>
    </row>
    <row r="59" spans="1:17" ht="15" x14ac:dyDescent="0.25">
      <c r="A59" s="78">
        <v>56</v>
      </c>
      <c r="B59" s="82" t="s">
        <v>555</v>
      </c>
      <c r="C59" s="82" t="s">
        <v>555</v>
      </c>
      <c r="D59" s="83" t="s">
        <v>658</v>
      </c>
      <c r="E59" s="79"/>
      <c r="F59" s="85"/>
      <c r="G59" s="78"/>
      <c r="H59" s="78"/>
      <c r="I59" s="78"/>
      <c r="J59" s="78"/>
      <c r="K59" s="78"/>
      <c r="L59" s="78"/>
      <c r="M59" s="78"/>
      <c r="N59" s="78"/>
      <c r="O59" s="84" t="s">
        <v>1159</v>
      </c>
      <c r="P59" s="78"/>
      <c r="Q59" s="78"/>
    </row>
    <row r="60" spans="1:17" ht="15" x14ac:dyDescent="0.25">
      <c r="A60" s="78">
        <v>57</v>
      </c>
      <c r="B60" s="82" t="s">
        <v>555</v>
      </c>
      <c r="C60" s="82" t="s">
        <v>578</v>
      </c>
      <c r="D60" s="83" t="s">
        <v>659</v>
      </c>
      <c r="E60" s="79"/>
      <c r="F60" s="83" t="s">
        <v>320</v>
      </c>
      <c r="G60" s="78"/>
      <c r="H60" s="78"/>
      <c r="I60" s="78"/>
      <c r="J60" s="78"/>
      <c r="K60" s="78"/>
      <c r="L60" s="78"/>
      <c r="M60" s="78"/>
      <c r="N60" s="78"/>
      <c r="O60" s="84" t="s">
        <v>1160</v>
      </c>
      <c r="P60" s="78"/>
      <c r="Q60" s="78"/>
    </row>
    <row r="61" spans="1:17" ht="15" x14ac:dyDescent="0.25">
      <c r="A61" s="78">
        <v>58</v>
      </c>
      <c r="B61" s="82" t="s">
        <v>555</v>
      </c>
      <c r="C61" s="82" t="s">
        <v>578</v>
      </c>
      <c r="D61" s="82" t="s">
        <v>660</v>
      </c>
      <c r="E61" s="79"/>
      <c r="F61" s="84"/>
      <c r="G61" s="78"/>
      <c r="H61" s="78"/>
      <c r="I61" s="78"/>
      <c r="J61" s="78"/>
      <c r="K61" s="78"/>
      <c r="L61" s="78"/>
      <c r="M61" s="78"/>
      <c r="N61" s="78"/>
      <c r="O61" s="84" t="s">
        <v>1161</v>
      </c>
      <c r="P61" s="78"/>
      <c r="Q61" s="78"/>
    </row>
    <row r="62" spans="1:17" ht="15" x14ac:dyDescent="0.25">
      <c r="A62" s="78">
        <v>59</v>
      </c>
      <c r="B62" s="82" t="s">
        <v>555</v>
      </c>
      <c r="C62" s="82" t="s">
        <v>578</v>
      </c>
      <c r="D62" s="82" t="s">
        <v>661</v>
      </c>
      <c r="E62" s="79"/>
      <c r="F62" s="84"/>
      <c r="G62" s="78"/>
      <c r="H62" s="78"/>
      <c r="I62" s="78"/>
      <c r="J62" s="78"/>
      <c r="K62" s="78"/>
      <c r="L62" s="78"/>
      <c r="M62" s="78"/>
      <c r="N62" s="78"/>
      <c r="O62" s="84" t="s">
        <v>1162</v>
      </c>
      <c r="P62" s="78"/>
      <c r="Q62" s="78"/>
    </row>
    <row r="63" spans="1:17" ht="15" x14ac:dyDescent="0.25">
      <c r="A63" s="78">
        <v>60</v>
      </c>
      <c r="B63" s="82" t="s">
        <v>555</v>
      </c>
      <c r="C63" s="82" t="s">
        <v>578</v>
      </c>
      <c r="D63" s="83" t="s">
        <v>662</v>
      </c>
      <c r="E63" s="79"/>
      <c r="F63" s="84"/>
      <c r="G63" s="78"/>
      <c r="H63" s="78"/>
      <c r="I63" s="78"/>
      <c r="J63" s="78"/>
      <c r="K63" s="78"/>
      <c r="L63" s="78"/>
      <c r="M63" s="78"/>
      <c r="N63" s="78"/>
      <c r="O63" s="84" t="s">
        <v>1163</v>
      </c>
      <c r="P63" s="78"/>
      <c r="Q63" s="78"/>
    </row>
    <row r="64" spans="1:17" ht="15" x14ac:dyDescent="0.25">
      <c r="A64" s="78">
        <v>61</v>
      </c>
      <c r="B64" s="82" t="s">
        <v>555</v>
      </c>
      <c r="C64" s="82" t="s">
        <v>578</v>
      </c>
      <c r="D64" s="83" t="s">
        <v>663</v>
      </c>
      <c r="E64" s="79"/>
      <c r="F64" s="84"/>
      <c r="G64" s="78"/>
      <c r="H64" s="78"/>
      <c r="I64" s="78"/>
      <c r="J64" s="78"/>
      <c r="K64" s="78"/>
      <c r="L64" s="78"/>
      <c r="M64" s="78"/>
      <c r="N64" s="78"/>
      <c r="O64" s="84" t="s">
        <v>1164</v>
      </c>
      <c r="P64" s="78"/>
      <c r="Q64" s="78"/>
    </row>
    <row r="65" spans="1:17" ht="15" x14ac:dyDescent="0.25">
      <c r="A65" s="78">
        <v>62</v>
      </c>
      <c r="B65" s="82" t="s">
        <v>555</v>
      </c>
      <c r="C65" s="82" t="s">
        <v>578</v>
      </c>
      <c r="D65" s="83" t="s">
        <v>664</v>
      </c>
      <c r="E65" s="79"/>
      <c r="F65" s="84"/>
      <c r="G65" s="78"/>
      <c r="H65" s="78"/>
      <c r="I65" s="78"/>
      <c r="J65" s="78"/>
      <c r="K65" s="78"/>
      <c r="L65" s="78"/>
      <c r="M65" s="78"/>
      <c r="N65" s="78"/>
      <c r="O65" s="84" t="s">
        <v>1165</v>
      </c>
      <c r="P65" s="78"/>
      <c r="Q65" s="78"/>
    </row>
    <row r="66" spans="1:17" ht="15" x14ac:dyDescent="0.25">
      <c r="A66" s="78">
        <v>63</v>
      </c>
      <c r="B66" s="82" t="s">
        <v>322</v>
      </c>
      <c r="C66" s="82" t="s">
        <v>322</v>
      </c>
      <c r="D66" s="83" t="s">
        <v>665</v>
      </c>
      <c r="E66" s="79"/>
      <c r="F66" s="83" t="s">
        <v>918</v>
      </c>
      <c r="G66" s="78"/>
      <c r="H66" s="78"/>
      <c r="I66" s="78"/>
      <c r="J66" s="78"/>
      <c r="K66" s="78"/>
      <c r="L66" s="78"/>
      <c r="M66" s="78"/>
      <c r="N66" s="78"/>
      <c r="O66" s="84" t="s">
        <v>1166</v>
      </c>
      <c r="P66" s="78"/>
      <c r="Q66" s="78"/>
    </row>
    <row r="67" spans="1:17" ht="15" x14ac:dyDescent="0.25">
      <c r="A67" s="78">
        <v>64</v>
      </c>
      <c r="B67" s="82" t="s">
        <v>322</v>
      </c>
      <c r="C67" s="82" t="s">
        <v>322</v>
      </c>
      <c r="D67" s="83" t="s">
        <v>666</v>
      </c>
      <c r="E67" s="79"/>
      <c r="F67" s="83" t="s">
        <v>323</v>
      </c>
      <c r="G67" s="78"/>
      <c r="H67" s="78"/>
      <c r="I67" s="78"/>
      <c r="J67" s="78"/>
      <c r="K67" s="78"/>
      <c r="L67" s="78"/>
      <c r="M67" s="78"/>
      <c r="N67" s="78"/>
      <c r="O67" s="84" t="s">
        <v>1167</v>
      </c>
      <c r="P67" s="78"/>
      <c r="Q67" s="78"/>
    </row>
    <row r="68" spans="1:17" ht="15" x14ac:dyDescent="0.25">
      <c r="A68" s="78">
        <v>65</v>
      </c>
      <c r="B68" s="85" t="s">
        <v>68</v>
      </c>
      <c r="C68" s="84" t="s">
        <v>579</v>
      </c>
      <c r="D68" s="84" t="s">
        <v>667</v>
      </c>
      <c r="E68" s="79"/>
      <c r="F68" s="83" t="s">
        <v>918</v>
      </c>
      <c r="G68" s="78"/>
      <c r="H68" s="78"/>
      <c r="I68" s="78"/>
      <c r="J68" s="78"/>
      <c r="K68" s="78"/>
      <c r="L68" s="78"/>
      <c r="M68" s="78"/>
      <c r="N68" s="78"/>
      <c r="O68" s="84" t="s">
        <v>1168</v>
      </c>
      <c r="P68" s="78"/>
      <c r="Q68" s="78"/>
    </row>
    <row r="69" spans="1:17" ht="15" x14ac:dyDescent="0.25">
      <c r="A69" s="78">
        <v>66</v>
      </c>
      <c r="B69" s="82" t="s">
        <v>322</v>
      </c>
      <c r="C69" s="84" t="s">
        <v>1097</v>
      </c>
      <c r="D69" s="84" t="s">
        <v>981</v>
      </c>
      <c r="E69" s="79"/>
      <c r="F69" s="84"/>
      <c r="G69" s="78"/>
      <c r="H69" s="78"/>
      <c r="I69" s="78"/>
      <c r="J69" s="78"/>
      <c r="K69" s="78"/>
      <c r="L69" s="78"/>
      <c r="M69" s="78"/>
      <c r="N69" s="78"/>
      <c r="O69" s="84" t="s">
        <v>1169</v>
      </c>
      <c r="P69" s="78"/>
      <c r="Q69" s="78"/>
    </row>
    <row r="70" spans="1:17" ht="15" x14ac:dyDescent="0.25">
      <c r="A70" s="78">
        <v>67</v>
      </c>
      <c r="B70" s="82" t="s">
        <v>322</v>
      </c>
      <c r="C70" s="84" t="s">
        <v>1097</v>
      </c>
      <c r="D70" s="84" t="s">
        <v>982</v>
      </c>
      <c r="E70" s="79"/>
      <c r="F70" s="84"/>
      <c r="G70" s="78"/>
      <c r="H70" s="78"/>
      <c r="I70" s="78"/>
      <c r="J70" s="78"/>
      <c r="K70" s="78"/>
      <c r="L70" s="78"/>
      <c r="M70" s="78"/>
      <c r="N70" s="78"/>
      <c r="O70" s="84" t="s">
        <v>1170</v>
      </c>
      <c r="P70" s="78"/>
      <c r="Q70" s="78"/>
    </row>
    <row r="71" spans="1:17" ht="15" x14ac:dyDescent="0.25">
      <c r="A71" s="78">
        <v>68</v>
      </c>
      <c r="B71" s="82" t="s">
        <v>322</v>
      </c>
      <c r="C71" s="84" t="s">
        <v>1097</v>
      </c>
      <c r="D71" s="84" t="s">
        <v>983</v>
      </c>
      <c r="E71" s="79"/>
      <c r="F71" s="84"/>
      <c r="G71" s="78"/>
      <c r="H71" s="78"/>
      <c r="I71" s="78"/>
      <c r="J71" s="78"/>
      <c r="K71" s="78"/>
      <c r="L71" s="78"/>
      <c r="M71" s="78"/>
      <c r="N71" s="78"/>
      <c r="O71" s="84" t="s">
        <v>1171</v>
      </c>
      <c r="P71" s="78"/>
      <c r="Q71" s="78"/>
    </row>
    <row r="72" spans="1:17" ht="15" x14ac:dyDescent="0.25">
      <c r="A72" s="78">
        <v>69</v>
      </c>
      <c r="B72" s="82" t="s">
        <v>322</v>
      </c>
      <c r="C72" s="84" t="s">
        <v>1098</v>
      </c>
      <c r="D72" s="83" t="s">
        <v>668</v>
      </c>
      <c r="E72" s="79"/>
      <c r="F72" s="84"/>
      <c r="G72" s="78"/>
      <c r="H72" s="78"/>
      <c r="I72" s="78"/>
      <c r="J72" s="78"/>
      <c r="K72" s="78"/>
      <c r="L72" s="78"/>
      <c r="M72" s="78"/>
      <c r="N72" s="78"/>
      <c r="O72" s="81" t="s">
        <v>1172</v>
      </c>
      <c r="P72" s="78"/>
      <c r="Q72" s="78"/>
    </row>
    <row r="73" spans="1:17" ht="15" x14ac:dyDescent="0.25">
      <c r="A73" s="78">
        <v>70</v>
      </c>
      <c r="B73" s="82" t="s">
        <v>322</v>
      </c>
      <c r="C73" s="84" t="s">
        <v>1098</v>
      </c>
      <c r="D73" s="84" t="s">
        <v>1106</v>
      </c>
      <c r="E73" s="79"/>
      <c r="F73" s="84"/>
      <c r="G73" s="78"/>
      <c r="H73" s="78"/>
      <c r="I73" s="78"/>
      <c r="J73" s="78"/>
      <c r="K73" s="78"/>
      <c r="L73" s="78"/>
      <c r="M73" s="78"/>
      <c r="N73" s="78"/>
      <c r="O73" s="84" t="s">
        <v>1173</v>
      </c>
      <c r="P73" s="78"/>
      <c r="Q73" s="78"/>
    </row>
    <row r="74" spans="1:17" ht="15" x14ac:dyDescent="0.25">
      <c r="A74" s="78">
        <v>71</v>
      </c>
      <c r="B74" s="82" t="s">
        <v>322</v>
      </c>
      <c r="C74" s="84" t="s">
        <v>1099</v>
      </c>
      <c r="D74" s="80" t="s">
        <v>669</v>
      </c>
      <c r="E74" s="79"/>
      <c r="F74" s="82" t="s">
        <v>320</v>
      </c>
      <c r="G74" s="78"/>
      <c r="H74" s="78"/>
      <c r="I74" s="78"/>
      <c r="J74" s="78"/>
      <c r="K74" s="78"/>
      <c r="L74" s="78"/>
      <c r="M74" s="78"/>
      <c r="N74" s="78"/>
      <c r="O74" s="85"/>
      <c r="P74" s="78"/>
      <c r="Q74" s="78"/>
    </row>
    <row r="75" spans="1:17" ht="15" x14ac:dyDescent="0.25">
      <c r="A75" s="78">
        <v>72</v>
      </c>
      <c r="B75" s="82" t="s">
        <v>322</v>
      </c>
      <c r="C75" s="84" t="s">
        <v>1099</v>
      </c>
      <c r="D75" s="80" t="s">
        <v>670</v>
      </c>
      <c r="E75" s="79"/>
      <c r="F75" s="82"/>
      <c r="G75" s="78"/>
      <c r="H75" s="78"/>
      <c r="I75" s="78"/>
      <c r="J75" s="78"/>
      <c r="K75" s="78"/>
      <c r="L75" s="78"/>
      <c r="M75" s="78"/>
      <c r="N75" s="78"/>
      <c r="O75" s="85"/>
      <c r="P75" s="78"/>
      <c r="Q75" s="78"/>
    </row>
    <row r="76" spans="1:17" ht="15" x14ac:dyDescent="0.25">
      <c r="A76" s="78">
        <v>73</v>
      </c>
      <c r="B76" s="82" t="s">
        <v>322</v>
      </c>
      <c r="C76" s="84" t="s">
        <v>1099</v>
      </c>
      <c r="D76" s="83" t="s">
        <v>671</v>
      </c>
      <c r="E76" s="79"/>
      <c r="F76" s="84"/>
      <c r="G76" s="78"/>
      <c r="H76" s="78"/>
      <c r="I76" s="78"/>
      <c r="J76" s="78"/>
      <c r="K76" s="78"/>
      <c r="L76" s="78"/>
      <c r="M76" s="78"/>
      <c r="N76" s="78"/>
      <c r="O76" s="84"/>
      <c r="P76" s="78"/>
      <c r="Q76" s="78"/>
    </row>
    <row r="77" spans="1:17" ht="15" x14ac:dyDescent="0.25">
      <c r="A77" s="78">
        <v>74</v>
      </c>
      <c r="B77" s="82" t="s">
        <v>322</v>
      </c>
      <c r="C77" s="84" t="s">
        <v>1099</v>
      </c>
      <c r="D77" s="83" t="s">
        <v>672</v>
      </c>
      <c r="E77" s="79"/>
      <c r="F77" s="84"/>
      <c r="G77" s="78"/>
      <c r="H77" s="78"/>
      <c r="I77" s="78"/>
      <c r="J77" s="78"/>
      <c r="K77" s="78"/>
      <c r="L77" s="78"/>
      <c r="M77" s="78"/>
      <c r="N77" s="78"/>
      <c r="O77" s="84" t="s">
        <v>1174</v>
      </c>
      <c r="P77" s="78"/>
      <c r="Q77" s="78"/>
    </row>
    <row r="78" spans="1:17" ht="15" x14ac:dyDescent="0.25">
      <c r="A78" s="78">
        <v>75</v>
      </c>
      <c r="B78" s="82" t="s">
        <v>322</v>
      </c>
      <c r="C78" s="83" t="s">
        <v>580</v>
      </c>
      <c r="D78" s="83" t="s">
        <v>673</v>
      </c>
      <c r="E78" s="79"/>
      <c r="F78" s="84"/>
      <c r="G78" s="78"/>
      <c r="H78" s="78"/>
      <c r="I78" s="78"/>
      <c r="J78" s="78"/>
      <c r="K78" s="78"/>
      <c r="L78" s="78"/>
      <c r="M78" s="78"/>
      <c r="N78" s="78"/>
      <c r="O78" s="84" t="s">
        <v>1174</v>
      </c>
      <c r="P78" s="78"/>
      <c r="Q78" s="78"/>
    </row>
    <row r="79" spans="1:17" ht="15" x14ac:dyDescent="0.25">
      <c r="A79" s="78">
        <v>76</v>
      </c>
      <c r="B79" s="82" t="s">
        <v>322</v>
      </c>
      <c r="C79" s="83" t="s">
        <v>580</v>
      </c>
      <c r="D79" s="83" t="s">
        <v>674</v>
      </c>
      <c r="E79" s="79"/>
      <c r="F79" s="84"/>
      <c r="G79" s="78"/>
      <c r="H79" s="78"/>
      <c r="I79" s="78"/>
      <c r="J79" s="78"/>
      <c r="K79" s="78"/>
      <c r="L79" s="78"/>
      <c r="M79" s="78"/>
      <c r="N79" s="78"/>
      <c r="O79" s="84" t="s">
        <v>1175</v>
      </c>
      <c r="P79" s="78"/>
      <c r="Q79" s="78"/>
    </row>
    <row r="80" spans="1:17" ht="15" x14ac:dyDescent="0.25">
      <c r="A80" s="78">
        <v>77</v>
      </c>
      <c r="B80" s="82" t="s">
        <v>322</v>
      </c>
      <c r="C80" s="83" t="s">
        <v>580</v>
      </c>
      <c r="D80" s="83" t="s">
        <v>675</v>
      </c>
      <c r="E80" s="79"/>
      <c r="F80" s="84"/>
      <c r="G80" s="78"/>
      <c r="H80" s="78"/>
      <c r="I80" s="78"/>
      <c r="J80" s="78"/>
      <c r="K80" s="78"/>
      <c r="L80" s="78"/>
      <c r="M80" s="78"/>
      <c r="N80" s="78"/>
      <c r="O80" s="84" t="s">
        <v>1176</v>
      </c>
      <c r="P80" s="78"/>
      <c r="Q80" s="78"/>
    </row>
    <row r="81" spans="1:17" ht="15" x14ac:dyDescent="0.25">
      <c r="A81" s="78">
        <v>78</v>
      </c>
      <c r="B81" s="82" t="s">
        <v>322</v>
      </c>
      <c r="C81" s="83" t="s">
        <v>580</v>
      </c>
      <c r="D81" s="83" t="s">
        <v>676</v>
      </c>
      <c r="E81" s="79"/>
      <c r="F81" s="84"/>
      <c r="G81" s="78"/>
      <c r="H81" s="78"/>
      <c r="I81" s="78"/>
      <c r="J81" s="78"/>
      <c r="K81" s="78"/>
      <c r="L81" s="78"/>
      <c r="M81" s="78"/>
      <c r="N81" s="78"/>
      <c r="O81" s="84"/>
      <c r="P81" s="78"/>
      <c r="Q81" s="78"/>
    </row>
    <row r="82" spans="1:17" ht="15" x14ac:dyDescent="0.25">
      <c r="A82" s="78">
        <v>79</v>
      </c>
      <c r="B82" s="82" t="s">
        <v>322</v>
      </c>
      <c r="C82" s="83" t="s">
        <v>580</v>
      </c>
      <c r="D82" s="83" t="s">
        <v>677</v>
      </c>
      <c r="E82" s="79"/>
      <c r="F82" s="84"/>
      <c r="G82" s="78"/>
      <c r="H82" s="78"/>
      <c r="I82" s="78"/>
      <c r="J82" s="78"/>
      <c r="K82" s="78"/>
      <c r="L82" s="78"/>
      <c r="M82" s="78"/>
      <c r="N82" s="78"/>
      <c r="O82" s="84" t="s">
        <v>1177</v>
      </c>
      <c r="P82" s="78"/>
      <c r="Q82" s="78"/>
    </row>
    <row r="83" spans="1:17" ht="15" x14ac:dyDescent="0.25">
      <c r="A83" s="78">
        <v>80</v>
      </c>
      <c r="B83" s="82" t="s">
        <v>322</v>
      </c>
      <c r="C83" s="83" t="s">
        <v>580</v>
      </c>
      <c r="D83" s="83" t="s">
        <v>678</v>
      </c>
      <c r="E83" s="79"/>
      <c r="F83" s="84"/>
      <c r="G83" s="78"/>
      <c r="H83" s="78"/>
      <c r="I83" s="78"/>
      <c r="J83" s="78"/>
      <c r="K83" s="78"/>
      <c r="L83" s="78"/>
      <c r="M83" s="78"/>
      <c r="N83" s="78"/>
      <c r="O83" s="84" t="s">
        <v>1178</v>
      </c>
      <c r="P83" s="78"/>
      <c r="Q83" s="78"/>
    </row>
    <row r="84" spans="1:17" ht="15" x14ac:dyDescent="0.25">
      <c r="A84" s="78">
        <v>81</v>
      </c>
      <c r="B84" s="82" t="s">
        <v>322</v>
      </c>
      <c r="C84" s="84" t="s">
        <v>581</v>
      </c>
      <c r="D84" s="83" t="s">
        <v>679</v>
      </c>
      <c r="E84" s="79"/>
      <c r="F84" s="84"/>
      <c r="G84" s="78"/>
      <c r="H84" s="78"/>
      <c r="I84" s="78"/>
      <c r="J84" s="78"/>
      <c r="K84" s="78"/>
      <c r="L84" s="78"/>
      <c r="M84" s="78"/>
      <c r="N84" s="78"/>
      <c r="O84" s="84" t="s">
        <v>1179</v>
      </c>
      <c r="P84" s="78"/>
      <c r="Q84" s="78"/>
    </row>
    <row r="85" spans="1:17" ht="15" x14ac:dyDescent="0.25">
      <c r="A85" s="78">
        <v>82</v>
      </c>
      <c r="B85" s="82" t="s">
        <v>322</v>
      </c>
      <c r="C85" s="84" t="s">
        <v>581</v>
      </c>
      <c r="D85" s="83" t="s">
        <v>680</v>
      </c>
      <c r="E85" s="79"/>
      <c r="F85" s="84"/>
      <c r="G85" s="78"/>
      <c r="H85" s="78"/>
      <c r="I85" s="78"/>
      <c r="J85" s="78"/>
      <c r="K85" s="78"/>
      <c r="L85" s="78"/>
      <c r="M85" s="78"/>
      <c r="N85" s="78"/>
      <c r="O85" s="84" t="s">
        <v>1180</v>
      </c>
      <c r="P85" s="78"/>
      <c r="Q85" s="78"/>
    </row>
    <row r="86" spans="1:17" ht="15" x14ac:dyDescent="0.25">
      <c r="A86" s="78">
        <v>83</v>
      </c>
      <c r="B86" s="82" t="s">
        <v>324</v>
      </c>
      <c r="C86" s="82" t="s">
        <v>324</v>
      </c>
      <c r="D86" s="80" t="s">
        <v>681</v>
      </c>
      <c r="E86" s="79"/>
      <c r="F86" s="80" t="s">
        <v>323</v>
      </c>
      <c r="G86" s="78"/>
      <c r="H86" s="78"/>
      <c r="I86" s="78"/>
      <c r="J86" s="78"/>
      <c r="K86" s="78"/>
      <c r="L86" s="78"/>
      <c r="M86" s="78"/>
      <c r="N86" s="78"/>
      <c r="O86" s="81" t="s">
        <v>1491</v>
      </c>
      <c r="P86" s="78"/>
      <c r="Q86" s="78"/>
    </row>
    <row r="87" spans="1:17" ht="15" x14ac:dyDescent="0.25">
      <c r="A87" s="78">
        <v>84</v>
      </c>
      <c r="B87" s="82" t="s">
        <v>324</v>
      </c>
      <c r="C87" s="82" t="s">
        <v>324</v>
      </c>
      <c r="D87" s="80" t="s">
        <v>682</v>
      </c>
      <c r="E87" s="79"/>
      <c r="F87" s="80" t="s">
        <v>918</v>
      </c>
      <c r="G87" s="78"/>
      <c r="H87" s="78"/>
      <c r="I87" s="78"/>
      <c r="J87" s="78"/>
      <c r="K87" s="78"/>
      <c r="L87" s="78"/>
      <c r="M87" s="78"/>
      <c r="N87" s="78"/>
      <c r="O87" s="81" t="s">
        <v>1492</v>
      </c>
      <c r="P87" s="78"/>
      <c r="Q87" s="78"/>
    </row>
    <row r="88" spans="1:17" ht="45" x14ac:dyDescent="0.25">
      <c r="A88" s="78">
        <v>85</v>
      </c>
      <c r="B88" s="82" t="s">
        <v>324</v>
      </c>
      <c r="C88" s="82" t="s">
        <v>324</v>
      </c>
      <c r="D88" s="80" t="s">
        <v>683</v>
      </c>
      <c r="E88" s="79"/>
      <c r="F88" s="81"/>
      <c r="G88" s="78"/>
      <c r="H88" s="78"/>
      <c r="I88" s="78"/>
      <c r="J88" s="78"/>
      <c r="K88" s="78"/>
      <c r="L88" s="78"/>
      <c r="M88" s="78"/>
      <c r="N88" s="78"/>
      <c r="O88" s="88" t="s">
        <v>1181</v>
      </c>
      <c r="P88" s="78"/>
      <c r="Q88" s="78"/>
    </row>
    <row r="89" spans="1:17" ht="15" x14ac:dyDescent="0.25">
      <c r="A89" s="78">
        <v>86</v>
      </c>
      <c r="B89" s="82" t="s">
        <v>324</v>
      </c>
      <c r="C89" s="82" t="s">
        <v>324</v>
      </c>
      <c r="D89" s="83" t="s">
        <v>684</v>
      </c>
      <c r="E89" s="79"/>
      <c r="F89" s="84"/>
      <c r="G89" s="78"/>
      <c r="H89" s="78"/>
      <c r="I89" s="78"/>
      <c r="J89" s="78"/>
      <c r="K89" s="78"/>
      <c r="L89" s="78"/>
      <c r="M89" s="78"/>
      <c r="N89" s="78"/>
      <c r="O89" s="84" t="s">
        <v>1493</v>
      </c>
      <c r="P89" s="78"/>
      <c r="Q89" s="78"/>
    </row>
    <row r="90" spans="1:17" ht="15" x14ac:dyDescent="0.25">
      <c r="A90" s="78">
        <v>87</v>
      </c>
      <c r="B90" s="82" t="s">
        <v>324</v>
      </c>
      <c r="C90" s="82" t="s">
        <v>324</v>
      </c>
      <c r="D90" s="83" t="s">
        <v>685</v>
      </c>
      <c r="E90" s="79"/>
      <c r="F90" s="84"/>
      <c r="G90" s="78"/>
      <c r="H90" s="78"/>
      <c r="I90" s="78"/>
      <c r="J90" s="78"/>
      <c r="K90" s="78"/>
      <c r="L90" s="78"/>
      <c r="M90" s="78"/>
      <c r="N90" s="78"/>
      <c r="O90" s="84" t="s">
        <v>1182</v>
      </c>
      <c r="P90" s="78"/>
      <c r="Q90" s="78"/>
    </row>
    <row r="91" spans="1:17" ht="45" x14ac:dyDescent="0.25">
      <c r="A91" s="78">
        <v>88</v>
      </c>
      <c r="B91" s="82" t="s">
        <v>324</v>
      </c>
      <c r="C91" s="82" t="s">
        <v>324</v>
      </c>
      <c r="D91" s="83" t="s">
        <v>686</v>
      </c>
      <c r="E91" s="79"/>
      <c r="F91" s="84"/>
      <c r="G91" s="78"/>
      <c r="H91" s="78"/>
      <c r="I91" s="78"/>
      <c r="J91" s="78"/>
      <c r="K91" s="78"/>
      <c r="L91" s="78"/>
      <c r="M91" s="78"/>
      <c r="N91" s="78"/>
      <c r="O91" s="88" t="s">
        <v>1183</v>
      </c>
      <c r="P91" s="78"/>
      <c r="Q91" s="78"/>
    </row>
    <row r="92" spans="1:17" ht="15" x14ac:dyDescent="0.25">
      <c r="A92" s="78">
        <v>89</v>
      </c>
      <c r="B92" s="82" t="s">
        <v>324</v>
      </c>
      <c r="C92" s="82" t="s">
        <v>324</v>
      </c>
      <c r="D92" s="83" t="s">
        <v>687</v>
      </c>
      <c r="E92" s="79"/>
      <c r="F92" s="84"/>
      <c r="G92" s="78"/>
      <c r="H92" s="78"/>
      <c r="I92" s="78"/>
      <c r="J92" s="78"/>
      <c r="K92" s="78"/>
      <c r="L92" s="78"/>
      <c r="M92" s="78"/>
      <c r="N92" s="78"/>
      <c r="O92" s="84" t="s">
        <v>1184</v>
      </c>
      <c r="P92" s="78"/>
      <c r="Q92" s="78"/>
    </row>
    <row r="93" spans="1:17" ht="15" x14ac:dyDescent="0.25">
      <c r="A93" s="78">
        <v>90</v>
      </c>
      <c r="B93" s="82" t="s">
        <v>324</v>
      </c>
      <c r="C93" s="82" t="s">
        <v>324</v>
      </c>
      <c r="D93" s="83" t="s">
        <v>688</v>
      </c>
      <c r="E93" s="79"/>
      <c r="F93" s="84"/>
      <c r="G93" s="78"/>
      <c r="H93" s="78"/>
      <c r="I93" s="78"/>
      <c r="J93" s="78"/>
      <c r="K93" s="78"/>
      <c r="L93" s="78"/>
      <c r="M93" s="78"/>
      <c r="N93" s="78"/>
      <c r="O93" s="84" t="s">
        <v>1185</v>
      </c>
      <c r="P93" s="78"/>
      <c r="Q93" s="78"/>
    </row>
    <row r="94" spans="1:17" ht="15" x14ac:dyDescent="0.25">
      <c r="A94" s="78">
        <v>91</v>
      </c>
      <c r="B94" s="85" t="s">
        <v>556</v>
      </c>
      <c r="C94" s="85" t="s">
        <v>556</v>
      </c>
      <c r="D94" s="80" t="s">
        <v>689</v>
      </c>
      <c r="E94" s="79"/>
      <c r="F94" s="80" t="s">
        <v>323</v>
      </c>
      <c r="G94" s="78"/>
      <c r="H94" s="78"/>
      <c r="I94" s="78"/>
      <c r="J94" s="78"/>
      <c r="K94" s="78"/>
      <c r="L94" s="78"/>
      <c r="M94" s="78"/>
      <c r="N94" s="78"/>
      <c r="O94" s="81" t="s">
        <v>1186</v>
      </c>
      <c r="P94" s="78"/>
      <c r="Q94" s="78"/>
    </row>
    <row r="95" spans="1:17" ht="15" x14ac:dyDescent="0.25">
      <c r="A95" s="78">
        <v>92</v>
      </c>
      <c r="B95" s="85" t="s">
        <v>556</v>
      </c>
      <c r="C95" s="85" t="s">
        <v>556</v>
      </c>
      <c r="D95" s="83" t="s">
        <v>690</v>
      </c>
      <c r="E95" s="79"/>
      <c r="F95" s="80" t="s">
        <v>918</v>
      </c>
      <c r="G95" s="78"/>
      <c r="H95" s="78"/>
      <c r="I95" s="78"/>
      <c r="J95" s="78"/>
      <c r="K95" s="78"/>
      <c r="L95" s="78"/>
      <c r="M95" s="78"/>
      <c r="N95" s="78"/>
      <c r="O95" s="84" t="s">
        <v>1187</v>
      </c>
      <c r="P95" s="78"/>
      <c r="Q95" s="78"/>
    </row>
    <row r="96" spans="1:17" ht="15" x14ac:dyDescent="0.25">
      <c r="A96" s="78">
        <v>93</v>
      </c>
      <c r="B96" s="85" t="s">
        <v>556</v>
      </c>
      <c r="C96" s="85" t="s">
        <v>556</v>
      </c>
      <c r="D96" s="83" t="s">
        <v>691</v>
      </c>
      <c r="E96" s="79"/>
      <c r="F96" s="84"/>
      <c r="G96" s="78"/>
      <c r="H96" s="78"/>
      <c r="I96" s="78"/>
      <c r="J96" s="78"/>
      <c r="K96" s="78"/>
      <c r="L96" s="78"/>
      <c r="M96" s="78"/>
      <c r="N96" s="78"/>
      <c r="O96" s="84" t="s">
        <v>1188</v>
      </c>
      <c r="P96" s="78"/>
      <c r="Q96" s="78"/>
    </row>
    <row r="97" spans="1:17" ht="15" x14ac:dyDescent="0.25">
      <c r="A97" s="78">
        <v>94</v>
      </c>
      <c r="B97" s="85" t="s">
        <v>556</v>
      </c>
      <c r="C97" s="85" t="s">
        <v>556</v>
      </c>
      <c r="D97" s="83" t="s">
        <v>692</v>
      </c>
      <c r="E97" s="79"/>
      <c r="F97" s="84"/>
      <c r="G97" s="78"/>
      <c r="H97" s="78"/>
      <c r="I97" s="78"/>
      <c r="J97" s="78"/>
      <c r="K97" s="78"/>
      <c r="L97" s="78"/>
      <c r="M97" s="78"/>
      <c r="N97" s="78"/>
      <c r="O97" s="84" t="s">
        <v>1189</v>
      </c>
      <c r="P97" s="78"/>
      <c r="Q97" s="78"/>
    </row>
    <row r="98" spans="1:17" ht="15" x14ac:dyDescent="0.25">
      <c r="A98" s="78">
        <v>95</v>
      </c>
      <c r="B98" s="85" t="s">
        <v>556</v>
      </c>
      <c r="C98" s="84" t="s">
        <v>1100</v>
      </c>
      <c r="D98" s="83" t="s">
        <v>693</v>
      </c>
      <c r="E98" s="79"/>
      <c r="F98" s="84"/>
      <c r="G98" s="78"/>
      <c r="H98" s="78"/>
      <c r="I98" s="78"/>
      <c r="J98" s="78"/>
      <c r="K98" s="78"/>
      <c r="L98" s="78"/>
      <c r="M98" s="78"/>
      <c r="N98" s="78"/>
      <c r="O98" s="84" t="s">
        <v>1190</v>
      </c>
      <c r="P98" s="78"/>
      <c r="Q98" s="78"/>
    </row>
    <row r="99" spans="1:17" ht="15" x14ac:dyDescent="0.25">
      <c r="A99" s="78">
        <v>96</v>
      </c>
      <c r="B99" s="85" t="s">
        <v>556</v>
      </c>
      <c r="C99" s="84" t="s">
        <v>1100</v>
      </c>
      <c r="D99" s="83" t="s">
        <v>694</v>
      </c>
      <c r="E99" s="79"/>
      <c r="F99" s="84"/>
      <c r="G99" s="78"/>
      <c r="H99" s="78"/>
      <c r="I99" s="78"/>
      <c r="J99" s="78"/>
      <c r="K99" s="78"/>
      <c r="L99" s="78"/>
      <c r="M99" s="78"/>
      <c r="N99" s="78"/>
      <c r="O99" s="84" t="s">
        <v>1191</v>
      </c>
      <c r="P99" s="78"/>
      <c r="Q99" s="78"/>
    </row>
    <row r="100" spans="1:17" ht="15" x14ac:dyDescent="0.25">
      <c r="A100" s="78">
        <v>97</v>
      </c>
      <c r="B100" s="85" t="s">
        <v>556</v>
      </c>
      <c r="C100" s="84" t="s">
        <v>1100</v>
      </c>
      <c r="D100" s="83" t="s">
        <v>695</v>
      </c>
      <c r="E100" s="79"/>
      <c r="F100" s="84"/>
      <c r="G100" s="78"/>
      <c r="H100" s="78"/>
      <c r="I100" s="78"/>
      <c r="J100" s="78"/>
      <c r="K100" s="78"/>
      <c r="L100" s="78"/>
      <c r="M100" s="78"/>
      <c r="N100" s="78"/>
      <c r="O100" s="84" t="s">
        <v>1192</v>
      </c>
      <c r="P100" s="78"/>
      <c r="Q100" s="78"/>
    </row>
    <row r="101" spans="1:17" ht="15" x14ac:dyDescent="0.25">
      <c r="A101" s="78">
        <v>98</v>
      </c>
      <c r="B101" s="85" t="s">
        <v>556</v>
      </c>
      <c r="C101" s="84" t="s">
        <v>1100</v>
      </c>
      <c r="D101" s="83" t="s">
        <v>696</v>
      </c>
      <c r="E101" s="79"/>
      <c r="F101" s="84"/>
      <c r="G101" s="78"/>
      <c r="H101" s="78"/>
      <c r="I101" s="78"/>
      <c r="J101" s="78"/>
      <c r="K101" s="78"/>
      <c r="L101" s="78"/>
      <c r="M101" s="78"/>
      <c r="N101" s="78"/>
      <c r="O101" s="84" t="s">
        <v>1193</v>
      </c>
      <c r="P101" s="78"/>
      <c r="Q101" s="78"/>
    </row>
    <row r="102" spans="1:17" ht="15" x14ac:dyDescent="0.25">
      <c r="A102" s="78">
        <v>99</v>
      </c>
      <c r="B102" s="85" t="s">
        <v>556</v>
      </c>
      <c r="C102" s="84" t="s">
        <v>1100</v>
      </c>
      <c r="D102" s="83" t="s">
        <v>697</v>
      </c>
      <c r="E102" s="79"/>
      <c r="F102" s="84"/>
      <c r="G102" s="78"/>
      <c r="H102" s="78"/>
      <c r="I102" s="78"/>
      <c r="J102" s="78"/>
      <c r="K102" s="78"/>
      <c r="L102" s="78"/>
      <c r="M102" s="78"/>
      <c r="N102" s="78"/>
      <c r="O102" s="84" t="s">
        <v>1194</v>
      </c>
      <c r="P102" s="78"/>
      <c r="Q102" s="78"/>
    </row>
    <row r="103" spans="1:17" ht="15" x14ac:dyDescent="0.25">
      <c r="A103" s="78">
        <v>100</v>
      </c>
      <c r="B103" s="85" t="s">
        <v>556</v>
      </c>
      <c r="C103" s="84" t="s">
        <v>1100</v>
      </c>
      <c r="D103" s="83" t="s">
        <v>698</v>
      </c>
      <c r="E103" s="79"/>
      <c r="F103" s="84"/>
      <c r="G103" s="78"/>
      <c r="H103" s="78"/>
      <c r="I103" s="78"/>
      <c r="J103" s="78"/>
      <c r="K103" s="78"/>
      <c r="L103" s="78"/>
      <c r="M103" s="78"/>
      <c r="N103" s="78"/>
      <c r="O103" s="84" t="s">
        <v>1195</v>
      </c>
      <c r="P103" s="78"/>
      <c r="Q103" s="78"/>
    </row>
    <row r="104" spans="1:17" ht="15" x14ac:dyDescent="0.25">
      <c r="A104" s="78">
        <v>101</v>
      </c>
      <c r="B104" s="85" t="s">
        <v>556</v>
      </c>
      <c r="C104" s="84" t="s">
        <v>1100</v>
      </c>
      <c r="D104" s="83" t="s">
        <v>699</v>
      </c>
      <c r="E104" s="79"/>
      <c r="F104" s="84"/>
      <c r="G104" s="78"/>
      <c r="H104" s="78"/>
      <c r="I104" s="78"/>
      <c r="J104" s="78"/>
      <c r="K104" s="78"/>
      <c r="L104" s="78"/>
      <c r="M104" s="78"/>
      <c r="N104" s="78"/>
      <c r="O104" s="84" t="s">
        <v>1196</v>
      </c>
      <c r="P104" s="78"/>
      <c r="Q104" s="78"/>
    </row>
    <row r="105" spans="1:17" ht="15" x14ac:dyDescent="0.25">
      <c r="A105" s="78">
        <v>102</v>
      </c>
      <c r="B105" s="85" t="s">
        <v>556</v>
      </c>
      <c r="C105" s="84" t="s">
        <v>1100</v>
      </c>
      <c r="D105" s="83" t="s">
        <v>700</v>
      </c>
      <c r="E105" s="79"/>
      <c r="F105" s="84"/>
      <c r="G105" s="78"/>
      <c r="H105" s="78"/>
      <c r="I105" s="78"/>
      <c r="J105" s="78"/>
      <c r="K105" s="78"/>
      <c r="L105" s="78"/>
      <c r="M105" s="78"/>
      <c r="N105" s="78"/>
      <c r="O105" s="84" t="s">
        <v>1197</v>
      </c>
      <c r="P105" s="78"/>
      <c r="Q105" s="78"/>
    </row>
    <row r="106" spans="1:17" ht="15" x14ac:dyDescent="0.25">
      <c r="A106" s="78">
        <v>103</v>
      </c>
      <c r="B106" s="85" t="s">
        <v>556</v>
      </c>
      <c r="C106" s="84" t="s">
        <v>1100</v>
      </c>
      <c r="D106" s="83" t="s">
        <v>701</v>
      </c>
      <c r="E106" s="79"/>
      <c r="F106" s="84"/>
      <c r="G106" s="78"/>
      <c r="H106" s="78"/>
      <c r="I106" s="78"/>
      <c r="J106" s="78"/>
      <c r="K106" s="78"/>
      <c r="L106" s="78"/>
      <c r="M106" s="78"/>
      <c r="N106" s="78"/>
      <c r="O106" s="84" t="s">
        <v>1198</v>
      </c>
      <c r="P106" s="78"/>
      <c r="Q106" s="78"/>
    </row>
    <row r="107" spans="1:17" ht="15" x14ac:dyDescent="0.25">
      <c r="A107" s="78">
        <v>104</v>
      </c>
      <c r="B107" s="85" t="s">
        <v>556</v>
      </c>
      <c r="C107" s="84" t="s">
        <v>1100</v>
      </c>
      <c r="D107" s="83" t="s">
        <v>702</v>
      </c>
      <c r="E107" s="79"/>
      <c r="F107" s="84"/>
      <c r="G107" s="78"/>
      <c r="H107" s="78"/>
      <c r="I107" s="78"/>
      <c r="J107" s="78"/>
      <c r="K107" s="78"/>
      <c r="L107" s="78"/>
      <c r="M107" s="78"/>
      <c r="N107" s="78"/>
      <c r="O107" s="84" t="s">
        <v>1199</v>
      </c>
      <c r="P107" s="78"/>
      <c r="Q107" s="78"/>
    </row>
    <row r="108" spans="1:17" ht="15" x14ac:dyDescent="0.25">
      <c r="A108" s="78">
        <v>105</v>
      </c>
      <c r="B108" s="85" t="s">
        <v>556</v>
      </c>
      <c r="C108" s="84" t="s">
        <v>1100</v>
      </c>
      <c r="D108" s="83" t="s">
        <v>703</v>
      </c>
      <c r="E108" s="79"/>
      <c r="F108" s="84"/>
      <c r="G108" s="78"/>
      <c r="H108" s="78"/>
      <c r="I108" s="78"/>
      <c r="J108" s="78"/>
      <c r="K108" s="78"/>
      <c r="L108" s="78"/>
      <c r="M108" s="78"/>
      <c r="N108" s="78"/>
      <c r="O108" s="84" t="s">
        <v>1200</v>
      </c>
      <c r="P108" s="78"/>
      <c r="Q108" s="78"/>
    </row>
    <row r="109" spans="1:17" ht="15" x14ac:dyDescent="0.25">
      <c r="A109" s="78">
        <v>106</v>
      </c>
      <c r="B109" s="85" t="s">
        <v>556</v>
      </c>
      <c r="C109" s="84" t="s">
        <v>1100</v>
      </c>
      <c r="D109" s="83" t="s">
        <v>704</v>
      </c>
      <c r="E109" s="79"/>
      <c r="F109" s="84"/>
      <c r="G109" s="78"/>
      <c r="H109" s="78"/>
      <c r="I109" s="78"/>
      <c r="J109" s="78"/>
      <c r="K109" s="78"/>
      <c r="L109" s="78"/>
      <c r="M109" s="78"/>
      <c r="N109" s="78"/>
      <c r="O109" s="84" t="s">
        <v>1201</v>
      </c>
      <c r="P109" s="78"/>
      <c r="Q109" s="78"/>
    </row>
    <row r="110" spans="1:17" ht="15" x14ac:dyDescent="0.25">
      <c r="A110" s="78">
        <v>107</v>
      </c>
      <c r="B110" s="85" t="s">
        <v>557</v>
      </c>
      <c r="C110" s="85" t="s">
        <v>557</v>
      </c>
      <c r="D110" s="83" t="s">
        <v>705</v>
      </c>
      <c r="E110" s="79"/>
      <c r="F110" s="83" t="s">
        <v>323</v>
      </c>
      <c r="G110" s="78"/>
      <c r="H110" s="78"/>
      <c r="I110" s="78"/>
      <c r="J110" s="78"/>
      <c r="K110" s="78"/>
      <c r="L110" s="78"/>
      <c r="M110" s="78"/>
      <c r="N110" s="78"/>
      <c r="O110" s="84" t="s">
        <v>1202</v>
      </c>
      <c r="P110" s="78"/>
      <c r="Q110" s="78"/>
    </row>
    <row r="111" spans="1:17" ht="15" x14ac:dyDescent="0.25">
      <c r="A111" s="78">
        <v>108</v>
      </c>
      <c r="B111" s="85" t="s">
        <v>557</v>
      </c>
      <c r="C111" s="85" t="s">
        <v>557</v>
      </c>
      <c r="D111" s="83" t="s">
        <v>706</v>
      </c>
      <c r="E111" s="79"/>
      <c r="F111" s="84"/>
      <c r="G111" s="78"/>
      <c r="H111" s="78"/>
      <c r="I111" s="78"/>
      <c r="J111" s="78"/>
      <c r="K111" s="78"/>
      <c r="L111" s="78"/>
      <c r="M111" s="78"/>
      <c r="N111" s="78"/>
      <c r="O111" s="84" t="s">
        <v>1203</v>
      </c>
      <c r="P111" s="78"/>
      <c r="Q111" s="78"/>
    </row>
    <row r="112" spans="1:17" ht="15" x14ac:dyDescent="0.25">
      <c r="A112" s="78">
        <v>109</v>
      </c>
      <c r="B112" s="85" t="s">
        <v>557</v>
      </c>
      <c r="C112" s="85" t="s">
        <v>557</v>
      </c>
      <c r="D112" s="83" t="s">
        <v>707</v>
      </c>
      <c r="E112" s="79"/>
      <c r="F112" s="84"/>
      <c r="G112" s="78"/>
      <c r="H112" s="78"/>
      <c r="I112" s="78"/>
      <c r="J112" s="78"/>
      <c r="K112" s="78"/>
      <c r="L112" s="78"/>
      <c r="M112" s="78"/>
      <c r="N112" s="78"/>
      <c r="O112" s="84" t="s">
        <v>1204</v>
      </c>
      <c r="P112" s="78"/>
      <c r="Q112" s="78"/>
    </row>
    <row r="113" spans="1:17" ht="15" x14ac:dyDescent="0.25">
      <c r="A113" s="78">
        <v>110</v>
      </c>
      <c r="B113" s="85" t="s">
        <v>557</v>
      </c>
      <c r="C113" s="85" t="s">
        <v>557</v>
      </c>
      <c r="D113" s="83" t="s">
        <v>708</v>
      </c>
      <c r="E113" s="79"/>
      <c r="F113" s="84"/>
      <c r="G113" s="78"/>
      <c r="H113" s="78"/>
      <c r="I113" s="78"/>
      <c r="J113" s="78"/>
      <c r="K113" s="78"/>
      <c r="L113" s="78"/>
      <c r="M113" s="78"/>
      <c r="N113" s="78"/>
      <c r="O113" s="84" t="s">
        <v>1205</v>
      </c>
      <c r="P113" s="78"/>
      <c r="Q113" s="78"/>
    </row>
    <row r="114" spans="1:17" ht="15" x14ac:dyDescent="0.25">
      <c r="A114" s="78">
        <v>111</v>
      </c>
      <c r="B114" s="85" t="s">
        <v>557</v>
      </c>
      <c r="C114" s="85" t="s">
        <v>557</v>
      </c>
      <c r="D114" s="83" t="s">
        <v>709</v>
      </c>
      <c r="E114" s="79"/>
      <c r="F114" s="84"/>
      <c r="G114" s="78"/>
      <c r="H114" s="78"/>
      <c r="I114" s="78"/>
      <c r="J114" s="78"/>
      <c r="K114" s="78"/>
      <c r="L114" s="78"/>
      <c r="M114" s="78"/>
      <c r="N114" s="78"/>
      <c r="O114" s="84" t="s">
        <v>1206</v>
      </c>
      <c r="P114" s="78"/>
      <c r="Q114" s="78"/>
    </row>
    <row r="115" spans="1:17" ht="15" x14ac:dyDescent="0.25">
      <c r="A115" s="78">
        <v>112</v>
      </c>
      <c r="B115" s="85" t="s">
        <v>557</v>
      </c>
      <c r="C115" s="85" t="s">
        <v>557</v>
      </c>
      <c r="D115" s="83" t="s">
        <v>710</v>
      </c>
      <c r="E115" s="79"/>
      <c r="F115" s="88"/>
      <c r="G115" s="78"/>
      <c r="H115" s="78"/>
      <c r="I115" s="78"/>
      <c r="J115" s="78"/>
      <c r="K115" s="78"/>
      <c r="L115" s="78"/>
      <c r="M115" s="78"/>
      <c r="N115" s="78"/>
      <c r="O115" s="84" t="s">
        <v>1207</v>
      </c>
      <c r="P115" s="78"/>
      <c r="Q115" s="78"/>
    </row>
    <row r="116" spans="1:17" ht="15" x14ac:dyDescent="0.25">
      <c r="A116" s="78">
        <v>113</v>
      </c>
      <c r="B116" s="85" t="s">
        <v>557</v>
      </c>
      <c r="C116" s="85" t="s">
        <v>557</v>
      </c>
      <c r="D116" s="83" t="s">
        <v>711</v>
      </c>
      <c r="E116" s="79"/>
      <c r="F116" s="84"/>
      <c r="G116" s="78"/>
      <c r="H116" s="78"/>
      <c r="I116" s="78"/>
      <c r="J116" s="78"/>
      <c r="K116" s="78"/>
      <c r="L116" s="78"/>
      <c r="M116" s="78"/>
      <c r="N116" s="78"/>
      <c r="O116" s="84" t="s">
        <v>1208</v>
      </c>
      <c r="P116" s="78"/>
      <c r="Q116" s="78"/>
    </row>
    <row r="117" spans="1:17" ht="15" x14ac:dyDescent="0.25">
      <c r="A117" s="78">
        <v>114</v>
      </c>
      <c r="B117" s="85" t="s">
        <v>557</v>
      </c>
      <c r="C117" s="85" t="s">
        <v>557</v>
      </c>
      <c r="D117" s="83" t="s">
        <v>712</v>
      </c>
      <c r="E117" s="79"/>
      <c r="F117" s="84"/>
      <c r="G117" s="78"/>
      <c r="H117" s="78"/>
      <c r="I117" s="78"/>
      <c r="J117" s="78"/>
      <c r="K117" s="78"/>
      <c r="L117" s="78"/>
      <c r="M117" s="78"/>
      <c r="N117" s="78"/>
      <c r="O117" s="84" t="s">
        <v>1209</v>
      </c>
      <c r="P117" s="78"/>
      <c r="Q117" s="78"/>
    </row>
    <row r="118" spans="1:17" ht="15" x14ac:dyDescent="0.25">
      <c r="A118" s="78">
        <v>115</v>
      </c>
      <c r="B118" s="85" t="s">
        <v>558</v>
      </c>
      <c r="C118" s="85" t="s">
        <v>558</v>
      </c>
      <c r="D118" s="83" t="s">
        <v>713</v>
      </c>
      <c r="E118" s="79"/>
      <c r="F118" s="87"/>
      <c r="G118" s="78"/>
      <c r="H118" s="78"/>
      <c r="I118" s="78"/>
      <c r="J118" s="78"/>
      <c r="K118" s="78"/>
      <c r="L118" s="78"/>
      <c r="M118" s="78"/>
      <c r="N118" s="78"/>
      <c r="O118" s="84" t="s">
        <v>1210</v>
      </c>
      <c r="P118" s="78"/>
      <c r="Q118" s="78"/>
    </row>
    <row r="119" spans="1:17" ht="15" x14ac:dyDescent="0.25">
      <c r="A119" s="78">
        <v>116</v>
      </c>
      <c r="B119" s="85" t="s">
        <v>558</v>
      </c>
      <c r="C119" s="85" t="s">
        <v>558</v>
      </c>
      <c r="D119" s="83" t="s">
        <v>714</v>
      </c>
      <c r="E119" s="79"/>
      <c r="F119" s="84"/>
      <c r="G119" s="78"/>
      <c r="H119" s="78"/>
      <c r="I119" s="78"/>
      <c r="J119" s="78"/>
      <c r="K119" s="78"/>
      <c r="L119" s="78"/>
      <c r="M119" s="78"/>
      <c r="N119" s="78"/>
      <c r="O119" s="84" t="s">
        <v>1211</v>
      </c>
      <c r="P119" s="78"/>
      <c r="Q119" s="78"/>
    </row>
    <row r="120" spans="1:17" ht="15" x14ac:dyDescent="0.25">
      <c r="A120" s="78">
        <v>117</v>
      </c>
      <c r="B120" s="85" t="s">
        <v>558</v>
      </c>
      <c r="C120" s="85" t="s">
        <v>558</v>
      </c>
      <c r="D120" s="83" t="s">
        <v>715</v>
      </c>
      <c r="E120" s="79"/>
      <c r="F120" s="84"/>
      <c r="G120" s="78"/>
      <c r="H120" s="78"/>
      <c r="I120" s="78"/>
      <c r="J120" s="78"/>
      <c r="K120" s="78"/>
      <c r="L120" s="78"/>
      <c r="M120" s="78"/>
      <c r="N120" s="78"/>
      <c r="O120" s="84" t="s">
        <v>1212</v>
      </c>
      <c r="P120" s="78"/>
      <c r="Q120" s="78"/>
    </row>
    <row r="121" spans="1:17" ht="15" x14ac:dyDescent="0.25">
      <c r="A121" s="78">
        <v>118</v>
      </c>
      <c r="B121" s="85" t="s">
        <v>558</v>
      </c>
      <c r="C121" s="85" t="s">
        <v>558</v>
      </c>
      <c r="D121" s="83" t="s">
        <v>716</v>
      </c>
      <c r="E121" s="79"/>
      <c r="F121" s="88"/>
      <c r="G121" s="78"/>
      <c r="H121" s="78"/>
      <c r="I121" s="78"/>
      <c r="J121" s="78"/>
      <c r="K121" s="78"/>
      <c r="L121" s="78"/>
      <c r="M121" s="78"/>
      <c r="N121" s="78"/>
      <c r="O121" s="89" t="s">
        <v>931</v>
      </c>
      <c r="P121" s="78"/>
      <c r="Q121" s="78"/>
    </row>
    <row r="122" spans="1:17" ht="15" x14ac:dyDescent="0.25">
      <c r="A122" s="78">
        <v>119</v>
      </c>
      <c r="B122" s="85" t="s">
        <v>558</v>
      </c>
      <c r="C122" s="85" t="s">
        <v>558</v>
      </c>
      <c r="D122" s="83" t="s">
        <v>717</v>
      </c>
      <c r="E122" s="79"/>
      <c r="F122" s="84"/>
      <c r="G122" s="78"/>
      <c r="H122" s="78"/>
      <c r="I122" s="78"/>
      <c r="J122" s="78"/>
      <c r="K122" s="78"/>
      <c r="L122" s="78"/>
      <c r="M122" s="78"/>
      <c r="N122" s="78"/>
      <c r="O122" s="84" t="s">
        <v>1213</v>
      </c>
      <c r="P122" s="78"/>
      <c r="Q122" s="78"/>
    </row>
    <row r="123" spans="1:17" ht="15" x14ac:dyDescent="0.25">
      <c r="A123" s="78">
        <v>120</v>
      </c>
      <c r="B123" s="85" t="s">
        <v>558</v>
      </c>
      <c r="C123" s="85" t="s">
        <v>558</v>
      </c>
      <c r="D123" s="83" t="s">
        <v>718</v>
      </c>
      <c r="E123" s="79"/>
      <c r="F123" s="81"/>
      <c r="G123" s="78"/>
      <c r="H123" s="78"/>
      <c r="I123" s="78"/>
      <c r="J123" s="78"/>
      <c r="K123" s="78"/>
      <c r="L123" s="78"/>
      <c r="M123" s="78"/>
      <c r="N123" s="78"/>
      <c r="O123" s="81" t="s">
        <v>1214</v>
      </c>
      <c r="P123" s="78"/>
      <c r="Q123" s="78"/>
    </row>
    <row r="124" spans="1:17" ht="15" x14ac:dyDescent="0.25">
      <c r="A124" s="78">
        <v>121</v>
      </c>
      <c r="B124" s="85" t="s">
        <v>558</v>
      </c>
      <c r="C124" s="85" t="s">
        <v>558</v>
      </c>
      <c r="D124" s="83" t="s">
        <v>719</v>
      </c>
      <c r="E124" s="79"/>
      <c r="F124" s="87"/>
      <c r="G124" s="78"/>
      <c r="H124" s="78"/>
      <c r="I124" s="78"/>
      <c r="J124" s="78"/>
      <c r="K124" s="78"/>
      <c r="L124" s="78"/>
      <c r="M124" s="78"/>
      <c r="N124" s="78"/>
      <c r="O124" s="84" t="s">
        <v>1215</v>
      </c>
      <c r="P124" s="78"/>
      <c r="Q124" s="78"/>
    </row>
    <row r="125" spans="1:17" ht="15" x14ac:dyDescent="0.25">
      <c r="A125" s="78">
        <v>122</v>
      </c>
      <c r="B125" s="85" t="s">
        <v>559</v>
      </c>
      <c r="C125" s="85" t="s">
        <v>559</v>
      </c>
      <c r="D125" s="83" t="s">
        <v>984</v>
      </c>
      <c r="E125" s="79"/>
      <c r="F125" s="81"/>
      <c r="G125" s="78"/>
      <c r="H125" s="78"/>
      <c r="I125" s="78"/>
      <c r="J125" s="78"/>
      <c r="K125" s="78"/>
      <c r="L125" s="78"/>
      <c r="M125" s="78"/>
      <c r="N125" s="78"/>
      <c r="O125" s="81" t="s">
        <v>1216</v>
      </c>
      <c r="P125" s="78"/>
      <c r="Q125" s="78"/>
    </row>
    <row r="126" spans="1:17" ht="15" x14ac:dyDescent="0.25">
      <c r="A126" s="78">
        <v>123</v>
      </c>
      <c r="B126" s="85" t="s">
        <v>559</v>
      </c>
      <c r="C126" s="85" t="s">
        <v>559</v>
      </c>
      <c r="D126" s="83" t="s">
        <v>720</v>
      </c>
      <c r="E126" s="79"/>
      <c r="F126" s="84"/>
      <c r="G126" s="78"/>
      <c r="H126" s="78"/>
      <c r="I126" s="78"/>
      <c r="J126" s="78"/>
      <c r="K126" s="78"/>
      <c r="L126" s="78"/>
      <c r="M126" s="78"/>
      <c r="N126" s="78"/>
      <c r="O126" s="84" t="s">
        <v>1217</v>
      </c>
      <c r="P126" s="78"/>
      <c r="Q126" s="78"/>
    </row>
    <row r="127" spans="1:17" ht="15" x14ac:dyDescent="0.25">
      <c r="A127" s="78">
        <v>124</v>
      </c>
      <c r="B127" s="85" t="s">
        <v>559</v>
      </c>
      <c r="C127" s="85" t="s">
        <v>559</v>
      </c>
      <c r="D127" s="83" t="s">
        <v>721</v>
      </c>
      <c r="E127" s="79"/>
      <c r="F127" s="84"/>
      <c r="G127" s="78"/>
      <c r="H127" s="78"/>
      <c r="I127" s="78"/>
      <c r="J127" s="78"/>
      <c r="K127" s="78"/>
      <c r="L127" s="78"/>
      <c r="M127" s="78"/>
      <c r="N127" s="78"/>
      <c r="O127" s="84" t="s">
        <v>1218</v>
      </c>
      <c r="P127" s="78"/>
      <c r="Q127" s="78"/>
    </row>
    <row r="128" spans="1:17" ht="15" x14ac:dyDescent="0.25">
      <c r="A128" s="78">
        <v>125</v>
      </c>
      <c r="B128" s="85" t="s">
        <v>559</v>
      </c>
      <c r="C128" s="85" t="s">
        <v>559</v>
      </c>
      <c r="D128" s="83" t="s">
        <v>722</v>
      </c>
      <c r="E128" s="79"/>
      <c r="F128" s="84"/>
      <c r="G128" s="78"/>
      <c r="H128" s="78"/>
      <c r="I128" s="78"/>
      <c r="J128" s="78"/>
      <c r="K128" s="78"/>
      <c r="L128" s="78"/>
      <c r="M128" s="78"/>
      <c r="N128" s="78"/>
      <c r="O128" s="84" t="s">
        <v>1219</v>
      </c>
      <c r="P128" s="78"/>
      <c r="Q128" s="78"/>
    </row>
    <row r="129" spans="1:17" ht="15" x14ac:dyDescent="0.25">
      <c r="A129" s="78">
        <v>126</v>
      </c>
      <c r="B129" s="85" t="s">
        <v>559</v>
      </c>
      <c r="C129" s="85" t="s">
        <v>559</v>
      </c>
      <c r="D129" s="83" t="s">
        <v>723</v>
      </c>
      <c r="E129" s="79"/>
      <c r="F129" s="88"/>
      <c r="G129" s="78"/>
      <c r="H129" s="78"/>
      <c r="I129" s="78"/>
      <c r="J129" s="78"/>
      <c r="K129" s="78"/>
      <c r="L129" s="78"/>
      <c r="M129" s="78"/>
      <c r="N129" s="78"/>
      <c r="O129" s="84" t="s">
        <v>1220</v>
      </c>
      <c r="P129" s="78"/>
      <c r="Q129" s="78"/>
    </row>
    <row r="130" spans="1:17" ht="15" x14ac:dyDescent="0.25">
      <c r="A130" s="78">
        <v>127</v>
      </c>
      <c r="B130" s="85" t="s">
        <v>559</v>
      </c>
      <c r="C130" s="85" t="s">
        <v>559</v>
      </c>
      <c r="D130" s="83" t="s">
        <v>724</v>
      </c>
      <c r="E130" s="79"/>
      <c r="F130" s="84"/>
      <c r="G130" s="78"/>
      <c r="H130" s="78"/>
      <c r="I130" s="78"/>
      <c r="J130" s="78"/>
      <c r="K130" s="78"/>
      <c r="L130" s="78"/>
      <c r="M130" s="78"/>
      <c r="N130" s="78"/>
      <c r="O130" s="84" t="s">
        <v>1221</v>
      </c>
      <c r="P130" s="78"/>
      <c r="Q130" s="78"/>
    </row>
    <row r="131" spans="1:17" ht="15" x14ac:dyDescent="0.25">
      <c r="A131" s="78">
        <v>128</v>
      </c>
      <c r="B131" s="85" t="s">
        <v>559</v>
      </c>
      <c r="C131" s="85" t="s">
        <v>559</v>
      </c>
      <c r="D131" s="83" t="s">
        <v>725</v>
      </c>
      <c r="E131" s="79"/>
      <c r="F131" s="84"/>
      <c r="G131" s="78"/>
      <c r="H131" s="78"/>
      <c r="I131" s="78"/>
      <c r="J131" s="78"/>
      <c r="K131" s="78"/>
      <c r="L131" s="78"/>
      <c r="M131" s="78"/>
      <c r="N131" s="78"/>
      <c r="O131" s="84" t="s">
        <v>1222</v>
      </c>
      <c r="P131" s="78"/>
      <c r="Q131" s="78"/>
    </row>
    <row r="132" spans="1:17" ht="15" x14ac:dyDescent="0.25">
      <c r="A132" s="78">
        <v>129</v>
      </c>
      <c r="B132" s="85" t="s">
        <v>559</v>
      </c>
      <c r="C132" s="85" t="s">
        <v>559</v>
      </c>
      <c r="D132" s="83" t="s">
        <v>658</v>
      </c>
      <c r="E132" s="79"/>
      <c r="F132" s="84"/>
      <c r="G132" s="78"/>
      <c r="H132" s="78"/>
      <c r="I132" s="78"/>
      <c r="J132" s="78"/>
      <c r="K132" s="78"/>
      <c r="L132" s="78"/>
      <c r="M132" s="78"/>
      <c r="N132" s="78"/>
      <c r="O132" s="89" t="s">
        <v>932</v>
      </c>
      <c r="P132" s="78"/>
      <c r="Q132" s="78"/>
    </row>
    <row r="133" spans="1:17" ht="15" x14ac:dyDescent="0.25">
      <c r="A133" s="78">
        <v>130</v>
      </c>
      <c r="B133" s="85" t="s">
        <v>559</v>
      </c>
      <c r="C133" s="85" t="s">
        <v>559</v>
      </c>
      <c r="D133" s="83" t="s">
        <v>646</v>
      </c>
      <c r="E133" s="79"/>
      <c r="F133" s="84"/>
      <c r="G133" s="78"/>
      <c r="H133" s="78"/>
      <c r="I133" s="78"/>
      <c r="J133" s="78"/>
      <c r="K133" s="78"/>
      <c r="L133" s="78"/>
      <c r="M133" s="78"/>
      <c r="N133" s="78"/>
      <c r="O133" s="84" t="s">
        <v>1223</v>
      </c>
      <c r="P133" s="78"/>
      <c r="Q133" s="78"/>
    </row>
    <row r="134" spans="1:17" ht="15" x14ac:dyDescent="0.25">
      <c r="A134" s="78">
        <v>131</v>
      </c>
      <c r="B134" s="85" t="s">
        <v>559</v>
      </c>
      <c r="C134" s="85" t="s">
        <v>559</v>
      </c>
      <c r="D134" s="83" t="s">
        <v>726</v>
      </c>
      <c r="E134" s="79"/>
      <c r="F134" s="84"/>
      <c r="G134" s="78"/>
      <c r="H134" s="78"/>
      <c r="I134" s="78"/>
      <c r="J134" s="78"/>
      <c r="K134" s="78"/>
      <c r="L134" s="78"/>
      <c r="M134" s="78"/>
      <c r="N134" s="78"/>
      <c r="O134" s="84" t="s">
        <v>1224</v>
      </c>
      <c r="P134" s="78"/>
      <c r="Q134" s="78"/>
    </row>
    <row r="135" spans="1:17" ht="15" x14ac:dyDescent="0.25">
      <c r="A135" s="78">
        <v>132</v>
      </c>
      <c r="B135" s="85" t="s">
        <v>559</v>
      </c>
      <c r="C135" s="85" t="s">
        <v>559</v>
      </c>
      <c r="D135" s="83" t="s">
        <v>727</v>
      </c>
      <c r="E135" s="79"/>
      <c r="F135" s="84"/>
      <c r="G135" s="78"/>
      <c r="H135" s="78"/>
      <c r="I135" s="78"/>
      <c r="J135" s="78"/>
      <c r="K135" s="78"/>
      <c r="L135" s="78"/>
      <c r="M135" s="78"/>
      <c r="N135" s="78"/>
      <c r="O135" s="84" t="s">
        <v>1225</v>
      </c>
      <c r="P135" s="78"/>
      <c r="Q135" s="78"/>
    </row>
    <row r="136" spans="1:17" ht="15" x14ac:dyDescent="0.25">
      <c r="A136" s="78">
        <v>133</v>
      </c>
      <c r="B136" s="85" t="s">
        <v>559</v>
      </c>
      <c r="C136" s="85" t="s">
        <v>559</v>
      </c>
      <c r="D136" s="83" t="s">
        <v>728</v>
      </c>
      <c r="E136" s="79"/>
      <c r="F136" s="84"/>
      <c r="G136" s="78"/>
      <c r="H136" s="78"/>
      <c r="I136" s="78"/>
      <c r="J136" s="78"/>
      <c r="K136" s="78"/>
      <c r="L136" s="78"/>
      <c r="M136" s="78"/>
      <c r="N136" s="78"/>
      <c r="O136" s="84" t="s">
        <v>1226</v>
      </c>
      <c r="P136" s="78"/>
      <c r="Q136" s="78"/>
    </row>
    <row r="137" spans="1:17" ht="15" x14ac:dyDescent="0.25">
      <c r="A137" s="78">
        <v>134</v>
      </c>
      <c r="B137" s="85" t="s">
        <v>559</v>
      </c>
      <c r="C137" s="85" t="s">
        <v>559</v>
      </c>
      <c r="D137" s="83" t="s">
        <v>729</v>
      </c>
      <c r="E137" s="79"/>
      <c r="F137" s="84"/>
      <c r="G137" s="78"/>
      <c r="H137" s="78"/>
      <c r="I137" s="78"/>
      <c r="J137" s="78"/>
      <c r="K137" s="78"/>
      <c r="L137" s="78"/>
      <c r="M137" s="78"/>
      <c r="N137" s="78"/>
      <c r="O137" s="84" t="s">
        <v>1227</v>
      </c>
      <c r="P137" s="78"/>
      <c r="Q137" s="78"/>
    </row>
    <row r="138" spans="1:17" ht="15" x14ac:dyDescent="0.25">
      <c r="A138" s="78">
        <v>135</v>
      </c>
      <c r="B138" s="85" t="s">
        <v>559</v>
      </c>
      <c r="C138" s="85" t="s">
        <v>559</v>
      </c>
      <c r="D138" s="83" t="s">
        <v>730</v>
      </c>
      <c r="E138" s="79"/>
      <c r="F138" s="84"/>
      <c r="G138" s="78"/>
      <c r="H138" s="78"/>
      <c r="I138" s="78"/>
      <c r="J138" s="78"/>
      <c r="K138" s="78"/>
      <c r="L138" s="78"/>
      <c r="M138" s="78"/>
      <c r="N138" s="78"/>
      <c r="O138" s="84" t="s">
        <v>1228</v>
      </c>
      <c r="P138" s="78"/>
      <c r="Q138" s="78"/>
    </row>
    <row r="139" spans="1:17" ht="15" x14ac:dyDescent="0.25">
      <c r="A139" s="78">
        <v>136</v>
      </c>
      <c r="B139" s="85" t="s">
        <v>559</v>
      </c>
      <c r="C139" s="85" t="s">
        <v>559</v>
      </c>
      <c r="D139" s="83" t="s">
        <v>731</v>
      </c>
      <c r="E139" s="79"/>
      <c r="F139" s="84"/>
      <c r="G139" s="78"/>
      <c r="H139" s="78"/>
      <c r="I139" s="78"/>
      <c r="J139" s="78"/>
      <c r="K139" s="78"/>
      <c r="L139" s="78"/>
      <c r="M139" s="78"/>
      <c r="N139" s="78"/>
      <c r="O139" s="84" t="s">
        <v>1229</v>
      </c>
      <c r="P139" s="78"/>
      <c r="Q139" s="78"/>
    </row>
    <row r="140" spans="1:17" s="15" customFormat="1" ht="15" x14ac:dyDescent="0.25">
      <c r="A140" s="102">
        <v>136</v>
      </c>
      <c r="B140" s="103" t="s">
        <v>559</v>
      </c>
      <c r="C140" s="103" t="s">
        <v>559</v>
      </c>
      <c r="D140" s="107" t="s">
        <v>1541</v>
      </c>
      <c r="E140" s="105"/>
      <c r="F140" s="104"/>
      <c r="G140" s="102"/>
      <c r="H140" s="102"/>
      <c r="I140" s="102"/>
      <c r="J140" s="102"/>
      <c r="K140" s="102"/>
      <c r="L140" s="102"/>
      <c r="M140" s="102"/>
      <c r="N140" s="102"/>
      <c r="O140" s="104"/>
      <c r="P140" s="102"/>
      <c r="Q140" s="102"/>
    </row>
    <row r="141" spans="1:17" ht="15" x14ac:dyDescent="0.25">
      <c r="A141" s="78">
        <v>137</v>
      </c>
      <c r="B141" s="85" t="s">
        <v>560</v>
      </c>
      <c r="C141" s="85" t="s">
        <v>560</v>
      </c>
      <c r="D141" s="83" t="s">
        <v>732</v>
      </c>
      <c r="E141" s="79"/>
      <c r="F141" s="83" t="s">
        <v>320</v>
      </c>
      <c r="G141" s="78"/>
      <c r="H141" s="78"/>
      <c r="I141" s="78"/>
      <c r="J141" s="78"/>
      <c r="K141" s="78"/>
      <c r="L141" s="78"/>
      <c r="M141" s="78"/>
      <c r="N141" s="78"/>
      <c r="O141" s="84" t="s">
        <v>1230</v>
      </c>
      <c r="P141" s="78"/>
      <c r="Q141" s="78"/>
    </row>
    <row r="142" spans="1:17" ht="15" x14ac:dyDescent="0.25">
      <c r="A142" s="78">
        <v>138</v>
      </c>
      <c r="B142" s="85" t="s">
        <v>560</v>
      </c>
      <c r="C142" s="85" t="s">
        <v>560</v>
      </c>
      <c r="D142" s="83" t="s">
        <v>733</v>
      </c>
      <c r="E142" s="79"/>
      <c r="F142" s="84"/>
      <c r="G142" s="78"/>
      <c r="H142" s="78"/>
      <c r="I142" s="78"/>
      <c r="J142" s="78"/>
      <c r="K142" s="78"/>
      <c r="L142" s="78"/>
      <c r="M142" s="78"/>
      <c r="N142" s="78"/>
      <c r="O142" s="90" t="s">
        <v>933</v>
      </c>
      <c r="P142" s="78"/>
      <c r="Q142" s="78"/>
    </row>
    <row r="143" spans="1:17" ht="45" x14ac:dyDescent="0.25">
      <c r="A143" s="78">
        <v>139</v>
      </c>
      <c r="B143" s="85" t="s">
        <v>560</v>
      </c>
      <c r="C143" s="85" t="s">
        <v>560</v>
      </c>
      <c r="D143" s="83" t="s">
        <v>734</v>
      </c>
      <c r="E143" s="79"/>
      <c r="F143" s="84"/>
      <c r="G143" s="78"/>
      <c r="H143" s="78"/>
      <c r="I143" s="78"/>
      <c r="J143" s="78"/>
      <c r="K143" s="78"/>
      <c r="L143" s="78"/>
      <c r="M143" s="78"/>
      <c r="N143" s="78"/>
      <c r="O143" s="88" t="s">
        <v>1231</v>
      </c>
      <c r="P143" s="78"/>
      <c r="Q143" s="78"/>
    </row>
    <row r="144" spans="1:17" ht="15" x14ac:dyDescent="0.25">
      <c r="A144" s="78">
        <v>140</v>
      </c>
      <c r="B144" s="85" t="s">
        <v>560</v>
      </c>
      <c r="C144" s="85" t="s">
        <v>560</v>
      </c>
      <c r="D144" s="83" t="s">
        <v>735</v>
      </c>
      <c r="E144" s="79"/>
      <c r="F144" s="84"/>
      <c r="G144" s="78"/>
      <c r="H144" s="78"/>
      <c r="I144" s="78"/>
      <c r="J144" s="78"/>
      <c r="K144" s="78"/>
      <c r="L144" s="78"/>
      <c r="M144" s="78"/>
      <c r="N144" s="78"/>
      <c r="O144" s="84" t="s">
        <v>1232</v>
      </c>
      <c r="P144" s="78"/>
      <c r="Q144" s="78"/>
    </row>
    <row r="145" spans="1:17" ht="15" x14ac:dyDescent="0.25">
      <c r="A145" s="78">
        <v>141</v>
      </c>
      <c r="B145" s="85" t="s">
        <v>560</v>
      </c>
      <c r="C145" s="85" t="s">
        <v>560</v>
      </c>
      <c r="D145" s="83" t="s">
        <v>736</v>
      </c>
      <c r="E145" s="79"/>
      <c r="F145" s="84"/>
      <c r="G145" s="78"/>
      <c r="H145" s="78"/>
      <c r="I145" s="78"/>
      <c r="J145" s="78"/>
      <c r="K145" s="78"/>
      <c r="L145" s="78"/>
      <c r="M145" s="78"/>
      <c r="N145" s="78"/>
      <c r="O145" s="84" t="s">
        <v>1233</v>
      </c>
      <c r="P145" s="78"/>
      <c r="Q145" s="78"/>
    </row>
    <row r="146" spans="1:17" ht="15" x14ac:dyDescent="0.25">
      <c r="A146" s="78">
        <v>142</v>
      </c>
      <c r="B146" s="85" t="s">
        <v>561</v>
      </c>
      <c r="C146" s="85" t="s">
        <v>561</v>
      </c>
      <c r="D146" s="80" t="s">
        <v>737</v>
      </c>
      <c r="E146" s="79"/>
      <c r="F146" s="80" t="s">
        <v>919</v>
      </c>
      <c r="G146" s="78"/>
      <c r="H146" s="78"/>
      <c r="I146" s="78"/>
      <c r="J146" s="78"/>
      <c r="K146" s="78"/>
      <c r="L146" s="78"/>
      <c r="M146" s="78"/>
      <c r="N146" s="78"/>
      <c r="O146" s="81" t="s">
        <v>1234</v>
      </c>
      <c r="P146" s="78"/>
      <c r="Q146" s="78"/>
    </row>
    <row r="147" spans="1:17" ht="15" x14ac:dyDescent="0.25">
      <c r="A147" s="78">
        <v>143</v>
      </c>
      <c r="B147" s="85" t="s">
        <v>561</v>
      </c>
      <c r="C147" s="85" t="s">
        <v>561</v>
      </c>
      <c r="D147" s="83" t="s">
        <v>738</v>
      </c>
      <c r="E147" s="79"/>
      <c r="F147" s="83" t="s">
        <v>920</v>
      </c>
      <c r="G147" s="78"/>
      <c r="H147" s="78"/>
      <c r="I147" s="78"/>
      <c r="J147" s="78"/>
      <c r="K147" s="78"/>
      <c r="L147" s="78"/>
      <c r="M147" s="78"/>
      <c r="N147" s="78"/>
      <c r="O147" s="84" t="s">
        <v>1235</v>
      </c>
      <c r="P147" s="78"/>
      <c r="Q147" s="78"/>
    </row>
    <row r="148" spans="1:17" ht="15" x14ac:dyDescent="0.25">
      <c r="A148" s="78">
        <v>144</v>
      </c>
      <c r="B148" s="85" t="s">
        <v>561</v>
      </c>
      <c r="C148" s="85" t="s">
        <v>561</v>
      </c>
      <c r="D148" s="83" t="s">
        <v>739</v>
      </c>
      <c r="E148" s="79"/>
      <c r="F148" s="83" t="s">
        <v>920</v>
      </c>
      <c r="G148" s="78"/>
      <c r="H148" s="78"/>
      <c r="I148" s="78"/>
      <c r="J148" s="78"/>
      <c r="K148" s="78"/>
      <c r="L148" s="78"/>
      <c r="M148" s="78"/>
      <c r="N148" s="78"/>
      <c r="O148" s="84" t="s">
        <v>1236</v>
      </c>
      <c r="P148" s="78"/>
      <c r="Q148" s="78"/>
    </row>
    <row r="149" spans="1:17" ht="15" x14ac:dyDescent="0.25">
      <c r="A149" s="78">
        <v>145</v>
      </c>
      <c r="B149" s="85" t="s">
        <v>561</v>
      </c>
      <c r="C149" s="85" t="s">
        <v>561</v>
      </c>
      <c r="D149" s="83" t="s">
        <v>740</v>
      </c>
      <c r="E149" s="79"/>
      <c r="F149" s="84"/>
      <c r="G149" s="78"/>
      <c r="H149" s="78"/>
      <c r="I149" s="78"/>
      <c r="J149" s="78"/>
      <c r="K149" s="78"/>
      <c r="L149" s="78"/>
      <c r="M149" s="78"/>
      <c r="N149" s="78"/>
      <c r="O149" s="84" t="s">
        <v>1237</v>
      </c>
      <c r="P149" s="78"/>
      <c r="Q149" s="78"/>
    </row>
    <row r="150" spans="1:17" ht="15" x14ac:dyDescent="0.25">
      <c r="A150" s="78">
        <v>146</v>
      </c>
      <c r="B150" s="85" t="s">
        <v>561</v>
      </c>
      <c r="C150" s="85" t="s">
        <v>561</v>
      </c>
      <c r="D150" s="83" t="s">
        <v>741</v>
      </c>
      <c r="E150" s="79"/>
      <c r="F150" s="84"/>
      <c r="G150" s="78"/>
      <c r="H150" s="78"/>
      <c r="I150" s="78"/>
      <c r="J150" s="78"/>
      <c r="K150" s="78"/>
      <c r="L150" s="78"/>
      <c r="M150" s="78"/>
      <c r="N150" s="78"/>
      <c r="O150" s="84" t="s">
        <v>1238</v>
      </c>
      <c r="P150" s="78"/>
      <c r="Q150" s="78"/>
    </row>
    <row r="151" spans="1:17" ht="15" x14ac:dyDescent="0.25">
      <c r="A151" s="78">
        <v>147</v>
      </c>
      <c r="B151" s="85" t="s">
        <v>561</v>
      </c>
      <c r="C151" s="85" t="s">
        <v>582</v>
      </c>
      <c r="D151" s="83" t="s">
        <v>742</v>
      </c>
      <c r="E151" s="79"/>
      <c r="F151" s="83" t="s">
        <v>323</v>
      </c>
      <c r="G151" s="78"/>
      <c r="H151" s="78"/>
      <c r="I151" s="78"/>
      <c r="J151" s="78"/>
      <c r="K151" s="78"/>
      <c r="L151" s="78"/>
      <c r="M151" s="78"/>
      <c r="N151" s="78"/>
      <c r="O151" s="84" t="s">
        <v>1239</v>
      </c>
      <c r="P151" s="78"/>
      <c r="Q151" s="78"/>
    </row>
    <row r="152" spans="1:17" ht="15" x14ac:dyDescent="0.25">
      <c r="A152" s="78">
        <v>148</v>
      </c>
      <c r="B152" s="85" t="s">
        <v>561</v>
      </c>
      <c r="C152" s="85" t="s">
        <v>582</v>
      </c>
      <c r="D152" s="83" t="s">
        <v>743</v>
      </c>
      <c r="E152" s="79"/>
      <c r="F152" s="80" t="s">
        <v>918</v>
      </c>
      <c r="G152" s="78"/>
      <c r="H152" s="78"/>
      <c r="I152" s="78"/>
      <c r="J152" s="78"/>
      <c r="K152" s="78"/>
      <c r="L152" s="78"/>
      <c r="M152" s="78"/>
      <c r="N152" s="78"/>
      <c r="O152" s="84" t="s">
        <v>1240</v>
      </c>
      <c r="P152" s="78"/>
      <c r="Q152" s="78"/>
    </row>
    <row r="153" spans="1:17" ht="15" x14ac:dyDescent="0.25">
      <c r="A153" s="78">
        <v>149</v>
      </c>
      <c r="B153" s="85" t="s">
        <v>561</v>
      </c>
      <c r="C153" s="85" t="s">
        <v>582</v>
      </c>
      <c r="D153" s="83" t="s">
        <v>744</v>
      </c>
      <c r="E153" s="79"/>
      <c r="F153" s="84"/>
      <c r="G153" s="78"/>
      <c r="H153" s="78"/>
      <c r="I153" s="78"/>
      <c r="J153" s="78"/>
      <c r="K153" s="78"/>
      <c r="L153" s="78"/>
      <c r="M153" s="78"/>
      <c r="N153" s="78"/>
      <c r="O153" s="84" t="s">
        <v>1241</v>
      </c>
      <c r="P153" s="78"/>
      <c r="Q153" s="78"/>
    </row>
    <row r="154" spans="1:17" ht="15" x14ac:dyDescent="0.25">
      <c r="A154" s="78">
        <v>150</v>
      </c>
      <c r="B154" s="85" t="s">
        <v>561</v>
      </c>
      <c r="C154" s="85" t="s">
        <v>582</v>
      </c>
      <c r="D154" s="83" t="s">
        <v>745</v>
      </c>
      <c r="E154" s="79"/>
      <c r="F154" s="84"/>
      <c r="G154" s="78"/>
      <c r="H154" s="78"/>
      <c r="I154" s="78"/>
      <c r="J154" s="78"/>
      <c r="K154" s="78"/>
      <c r="L154" s="78"/>
      <c r="M154" s="78"/>
      <c r="N154" s="78"/>
      <c r="O154" s="84" t="s">
        <v>1242</v>
      </c>
      <c r="P154" s="78"/>
      <c r="Q154" s="78"/>
    </row>
    <row r="155" spans="1:17" ht="15" x14ac:dyDescent="0.25">
      <c r="A155" s="78">
        <v>151</v>
      </c>
      <c r="B155" s="85" t="s">
        <v>561</v>
      </c>
      <c r="C155" s="85" t="s">
        <v>582</v>
      </c>
      <c r="D155" s="83" t="s">
        <v>746</v>
      </c>
      <c r="E155" s="79"/>
      <c r="F155" s="84"/>
      <c r="G155" s="78"/>
      <c r="H155" s="78"/>
      <c r="I155" s="78"/>
      <c r="J155" s="78"/>
      <c r="K155" s="78"/>
      <c r="L155" s="78"/>
      <c r="M155" s="78"/>
      <c r="N155" s="78"/>
      <c r="O155" s="84" t="s">
        <v>1243</v>
      </c>
      <c r="P155" s="78"/>
      <c r="Q155" s="78"/>
    </row>
    <row r="156" spans="1:17" ht="15" x14ac:dyDescent="0.25">
      <c r="A156" s="78">
        <v>152</v>
      </c>
      <c r="B156" s="85" t="s">
        <v>561</v>
      </c>
      <c r="C156" s="85" t="s">
        <v>582</v>
      </c>
      <c r="D156" s="83" t="s">
        <v>747</v>
      </c>
      <c r="E156" s="79"/>
      <c r="F156" s="84"/>
      <c r="G156" s="78"/>
      <c r="H156" s="78"/>
      <c r="I156" s="78"/>
      <c r="J156" s="78"/>
      <c r="K156" s="78"/>
      <c r="L156" s="78"/>
      <c r="M156" s="78"/>
      <c r="N156" s="78"/>
      <c r="O156" s="84" t="s">
        <v>1244</v>
      </c>
      <c r="P156" s="78"/>
      <c r="Q156" s="78"/>
    </row>
    <row r="157" spans="1:17" ht="15" x14ac:dyDescent="0.25">
      <c r="A157" s="78">
        <v>153</v>
      </c>
      <c r="B157" s="85" t="s">
        <v>561</v>
      </c>
      <c r="C157" s="85" t="s">
        <v>582</v>
      </c>
      <c r="D157" s="83" t="s">
        <v>748</v>
      </c>
      <c r="E157" s="79"/>
      <c r="F157" s="84"/>
      <c r="G157" s="78"/>
      <c r="H157" s="78"/>
      <c r="I157" s="78"/>
      <c r="J157" s="78"/>
      <c r="K157" s="78"/>
      <c r="L157" s="78"/>
      <c r="M157" s="78"/>
      <c r="N157" s="78"/>
      <c r="O157" s="84" t="s">
        <v>1245</v>
      </c>
      <c r="P157" s="78"/>
      <c r="Q157" s="78"/>
    </row>
    <row r="158" spans="1:17" ht="15" x14ac:dyDescent="0.25">
      <c r="A158" s="78">
        <v>154</v>
      </c>
      <c r="B158" s="85" t="s">
        <v>561</v>
      </c>
      <c r="C158" s="85" t="s">
        <v>582</v>
      </c>
      <c r="D158" s="83" t="s">
        <v>749</v>
      </c>
      <c r="E158" s="79"/>
      <c r="F158" s="84"/>
      <c r="G158" s="78"/>
      <c r="H158" s="78"/>
      <c r="I158" s="78"/>
      <c r="J158" s="78"/>
      <c r="K158" s="78"/>
      <c r="L158" s="78"/>
      <c r="M158" s="78"/>
      <c r="N158" s="78"/>
      <c r="O158" s="84" t="s">
        <v>1246</v>
      </c>
      <c r="P158" s="78"/>
      <c r="Q158" s="78"/>
    </row>
    <row r="159" spans="1:17" ht="15" x14ac:dyDescent="0.25">
      <c r="A159" s="78">
        <v>155</v>
      </c>
      <c r="B159" s="85" t="s">
        <v>561</v>
      </c>
      <c r="C159" s="85" t="s">
        <v>582</v>
      </c>
      <c r="D159" s="83" t="s">
        <v>985</v>
      </c>
      <c r="E159" s="79"/>
      <c r="F159" s="84"/>
      <c r="G159" s="78"/>
      <c r="H159" s="78"/>
      <c r="I159" s="78"/>
      <c r="J159" s="78"/>
      <c r="K159" s="78"/>
      <c r="L159" s="78"/>
      <c r="M159" s="78"/>
      <c r="N159" s="78"/>
      <c r="O159" s="84" t="s">
        <v>1247</v>
      </c>
      <c r="P159" s="78"/>
      <c r="Q159" s="78"/>
    </row>
    <row r="160" spans="1:17" ht="15" x14ac:dyDescent="0.25">
      <c r="A160" s="78">
        <v>156</v>
      </c>
      <c r="B160" s="85" t="s">
        <v>561</v>
      </c>
      <c r="C160" s="85" t="s">
        <v>583</v>
      </c>
      <c r="D160" s="83" t="s">
        <v>750</v>
      </c>
      <c r="E160" s="79"/>
      <c r="F160" s="83" t="s">
        <v>323</v>
      </c>
      <c r="G160" s="78"/>
      <c r="H160" s="78"/>
      <c r="I160" s="78"/>
      <c r="J160" s="78"/>
      <c r="K160" s="78"/>
      <c r="L160" s="78"/>
      <c r="M160" s="78"/>
      <c r="N160" s="78"/>
      <c r="O160" s="84" t="s">
        <v>1248</v>
      </c>
      <c r="P160" s="78"/>
      <c r="Q160" s="78"/>
    </row>
    <row r="161" spans="1:17" ht="15" x14ac:dyDescent="0.25">
      <c r="A161" s="78">
        <v>157</v>
      </c>
      <c r="B161" s="85" t="s">
        <v>561</v>
      </c>
      <c r="C161" s="85" t="s">
        <v>583</v>
      </c>
      <c r="D161" s="83" t="s">
        <v>751</v>
      </c>
      <c r="E161" s="79"/>
      <c r="F161" s="80" t="s">
        <v>918</v>
      </c>
      <c r="G161" s="78"/>
      <c r="H161" s="78"/>
      <c r="I161" s="78"/>
      <c r="J161" s="78"/>
      <c r="K161" s="78"/>
      <c r="L161" s="78"/>
      <c r="M161" s="78"/>
      <c r="N161" s="78"/>
      <c r="O161" s="84" t="s">
        <v>1249</v>
      </c>
      <c r="P161" s="78"/>
      <c r="Q161" s="78"/>
    </row>
    <row r="162" spans="1:17" ht="15" x14ac:dyDescent="0.25">
      <c r="A162" s="78">
        <v>158</v>
      </c>
      <c r="B162" s="85" t="s">
        <v>561</v>
      </c>
      <c r="C162" s="85" t="s">
        <v>583</v>
      </c>
      <c r="D162" s="83" t="s">
        <v>752</v>
      </c>
      <c r="E162" s="79"/>
      <c r="F162" s="85" t="s">
        <v>1502</v>
      </c>
      <c r="G162" s="78"/>
      <c r="H162" s="78"/>
      <c r="I162" s="78"/>
      <c r="J162" s="78"/>
      <c r="K162" s="78"/>
      <c r="L162" s="78"/>
      <c r="M162" s="78"/>
      <c r="N162" s="78"/>
      <c r="O162" s="84" t="s">
        <v>1250</v>
      </c>
      <c r="P162" s="78"/>
      <c r="Q162" s="78"/>
    </row>
    <row r="163" spans="1:17" ht="15" x14ac:dyDescent="0.25">
      <c r="A163" s="78">
        <v>159</v>
      </c>
      <c r="B163" s="85" t="s">
        <v>561</v>
      </c>
      <c r="C163" s="85" t="s">
        <v>583</v>
      </c>
      <c r="D163" s="83" t="s">
        <v>753</v>
      </c>
      <c r="E163" s="79"/>
      <c r="F163" s="85" t="s">
        <v>1502</v>
      </c>
      <c r="G163" s="78"/>
      <c r="H163" s="78"/>
      <c r="I163" s="78"/>
      <c r="J163" s="78"/>
      <c r="K163" s="78"/>
      <c r="L163" s="78"/>
      <c r="M163" s="78"/>
      <c r="N163" s="78"/>
      <c r="O163" s="84" t="s">
        <v>1251</v>
      </c>
      <c r="P163" s="78"/>
      <c r="Q163" s="78"/>
    </row>
    <row r="164" spans="1:17" ht="15" x14ac:dyDescent="0.25">
      <c r="A164" s="78">
        <v>160</v>
      </c>
      <c r="B164" s="85" t="s">
        <v>561</v>
      </c>
      <c r="C164" s="85" t="s">
        <v>583</v>
      </c>
      <c r="D164" s="83" t="s">
        <v>754</v>
      </c>
      <c r="E164" s="79"/>
      <c r="F164" s="85" t="s">
        <v>1502</v>
      </c>
      <c r="G164" s="78"/>
      <c r="H164" s="78"/>
      <c r="I164" s="78"/>
      <c r="J164" s="78"/>
      <c r="K164" s="78"/>
      <c r="L164" s="78"/>
      <c r="M164" s="78"/>
      <c r="N164" s="78"/>
      <c r="O164" s="84" t="s">
        <v>1252</v>
      </c>
      <c r="P164" s="78"/>
      <c r="Q164" s="78"/>
    </row>
    <row r="165" spans="1:17" ht="15" x14ac:dyDescent="0.25">
      <c r="A165" s="78">
        <v>161</v>
      </c>
      <c r="B165" s="85" t="s">
        <v>561</v>
      </c>
      <c r="C165" s="85" t="s">
        <v>583</v>
      </c>
      <c r="D165" s="83" t="s">
        <v>755</v>
      </c>
      <c r="E165" s="79"/>
      <c r="F165" s="85" t="s">
        <v>1502</v>
      </c>
      <c r="G165" s="78"/>
      <c r="H165" s="78"/>
      <c r="I165" s="78"/>
      <c r="J165" s="78"/>
      <c r="K165" s="78"/>
      <c r="L165" s="78"/>
      <c r="M165" s="78"/>
      <c r="N165" s="78"/>
      <c r="O165" s="81" t="s">
        <v>1253</v>
      </c>
      <c r="P165" s="78"/>
      <c r="Q165" s="78"/>
    </row>
    <row r="166" spans="1:17" ht="15" x14ac:dyDescent="0.25">
      <c r="A166" s="78">
        <v>162</v>
      </c>
      <c r="B166" s="85" t="s">
        <v>561</v>
      </c>
      <c r="C166" s="85" t="s">
        <v>583</v>
      </c>
      <c r="D166" s="83" t="s">
        <v>756</v>
      </c>
      <c r="E166" s="79"/>
      <c r="F166" s="85" t="s">
        <v>1502</v>
      </c>
      <c r="G166" s="78"/>
      <c r="H166" s="78"/>
      <c r="I166" s="78"/>
      <c r="J166" s="78"/>
      <c r="K166" s="78"/>
      <c r="L166" s="78"/>
      <c r="M166" s="78"/>
      <c r="N166" s="78"/>
      <c r="O166" s="84" t="s">
        <v>1254</v>
      </c>
      <c r="P166" s="78"/>
      <c r="Q166" s="78"/>
    </row>
    <row r="167" spans="1:17" ht="15" x14ac:dyDescent="0.25">
      <c r="A167" s="78">
        <v>163</v>
      </c>
      <c r="B167" s="85" t="s">
        <v>561</v>
      </c>
      <c r="C167" s="85" t="s">
        <v>583</v>
      </c>
      <c r="D167" s="83" t="s">
        <v>757</v>
      </c>
      <c r="E167" s="79"/>
      <c r="F167" s="85" t="s">
        <v>1502</v>
      </c>
      <c r="G167" s="78"/>
      <c r="H167" s="78"/>
      <c r="I167" s="78"/>
      <c r="J167" s="78"/>
      <c r="K167" s="78"/>
      <c r="L167" s="78"/>
      <c r="M167" s="78"/>
      <c r="N167" s="78"/>
      <c r="O167" s="84" t="s">
        <v>1255</v>
      </c>
      <c r="P167" s="78"/>
      <c r="Q167" s="78"/>
    </row>
    <row r="168" spans="1:17" ht="15" x14ac:dyDescent="0.25">
      <c r="A168" s="78">
        <v>164</v>
      </c>
      <c r="B168" s="85" t="s">
        <v>561</v>
      </c>
      <c r="C168" s="85" t="s">
        <v>583</v>
      </c>
      <c r="D168" s="83" t="s">
        <v>758</v>
      </c>
      <c r="E168" s="79"/>
      <c r="F168" s="85" t="s">
        <v>1502</v>
      </c>
      <c r="G168" s="78"/>
      <c r="H168" s="78"/>
      <c r="I168" s="78"/>
      <c r="J168" s="78"/>
      <c r="K168" s="78"/>
      <c r="L168" s="78"/>
      <c r="M168" s="78"/>
      <c r="N168" s="78"/>
      <c r="O168" s="81" t="s">
        <v>1256</v>
      </c>
      <c r="P168" s="78"/>
      <c r="Q168" s="78"/>
    </row>
    <row r="169" spans="1:17" ht="15" x14ac:dyDescent="0.25">
      <c r="A169" s="78">
        <v>165</v>
      </c>
      <c r="B169" s="85" t="s">
        <v>561</v>
      </c>
      <c r="C169" s="85" t="s">
        <v>584</v>
      </c>
      <c r="D169" s="83" t="s">
        <v>759</v>
      </c>
      <c r="E169" s="79"/>
      <c r="F169" s="83" t="s">
        <v>323</v>
      </c>
      <c r="G169" s="78"/>
      <c r="H169" s="78"/>
      <c r="I169" s="78"/>
      <c r="J169" s="78"/>
      <c r="K169" s="78"/>
      <c r="L169" s="78"/>
      <c r="M169" s="78"/>
      <c r="N169" s="78"/>
      <c r="O169" s="84" t="s">
        <v>1257</v>
      </c>
      <c r="P169" s="78"/>
      <c r="Q169" s="78"/>
    </row>
    <row r="170" spans="1:17" ht="15" x14ac:dyDescent="0.25">
      <c r="A170" s="78">
        <v>166</v>
      </c>
      <c r="B170" s="85" t="s">
        <v>561</v>
      </c>
      <c r="C170" s="85" t="s">
        <v>584</v>
      </c>
      <c r="D170" s="83" t="s">
        <v>760</v>
      </c>
      <c r="E170" s="79"/>
      <c r="F170" s="80" t="s">
        <v>918</v>
      </c>
      <c r="G170" s="78"/>
      <c r="H170" s="78"/>
      <c r="I170" s="78"/>
      <c r="J170" s="78"/>
      <c r="K170" s="78"/>
      <c r="L170" s="78"/>
      <c r="M170" s="78"/>
      <c r="N170" s="78"/>
      <c r="O170" s="84" t="s">
        <v>1258</v>
      </c>
      <c r="P170" s="78"/>
      <c r="Q170" s="78"/>
    </row>
    <row r="171" spans="1:17" ht="15" x14ac:dyDescent="0.25">
      <c r="A171" s="78">
        <v>167</v>
      </c>
      <c r="B171" s="85" t="s">
        <v>561</v>
      </c>
      <c r="C171" s="85" t="s">
        <v>584</v>
      </c>
      <c r="D171" s="83" t="s">
        <v>761</v>
      </c>
      <c r="E171" s="79"/>
      <c r="F171" s="85" t="s">
        <v>1502</v>
      </c>
      <c r="G171" s="78"/>
      <c r="H171" s="78"/>
      <c r="I171" s="78"/>
      <c r="J171" s="78"/>
      <c r="K171" s="78"/>
      <c r="L171" s="78"/>
      <c r="M171" s="78"/>
      <c r="N171" s="78"/>
      <c r="O171" s="84" t="s">
        <v>1259</v>
      </c>
      <c r="P171" s="78"/>
      <c r="Q171" s="78"/>
    </row>
    <row r="172" spans="1:17" ht="15" x14ac:dyDescent="0.25">
      <c r="A172" s="78">
        <v>168</v>
      </c>
      <c r="B172" s="85" t="s">
        <v>561</v>
      </c>
      <c r="C172" s="85" t="s">
        <v>584</v>
      </c>
      <c r="D172" s="83" t="s">
        <v>762</v>
      </c>
      <c r="E172" s="79"/>
      <c r="F172" s="85" t="s">
        <v>1502</v>
      </c>
      <c r="G172" s="78"/>
      <c r="H172" s="78"/>
      <c r="I172" s="78"/>
      <c r="J172" s="78"/>
      <c r="K172" s="78"/>
      <c r="L172" s="78"/>
      <c r="M172" s="78"/>
      <c r="N172" s="78"/>
      <c r="O172" s="84" t="s">
        <v>1260</v>
      </c>
      <c r="P172" s="78"/>
      <c r="Q172" s="78"/>
    </row>
    <row r="173" spans="1:17" ht="15" x14ac:dyDescent="0.25">
      <c r="A173" s="78">
        <v>169</v>
      </c>
      <c r="B173" s="85" t="s">
        <v>561</v>
      </c>
      <c r="C173" s="85" t="s">
        <v>584</v>
      </c>
      <c r="D173" s="83" t="s">
        <v>763</v>
      </c>
      <c r="E173" s="79"/>
      <c r="F173" s="85" t="s">
        <v>1502</v>
      </c>
      <c r="G173" s="78"/>
      <c r="H173" s="78"/>
      <c r="I173" s="78"/>
      <c r="J173" s="78"/>
      <c r="K173" s="78"/>
      <c r="L173" s="78"/>
      <c r="M173" s="78"/>
      <c r="N173" s="78"/>
      <c r="O173" s="84" t="s">
        <v>1261</v>
      </c>
      <c r="P173" s="78"/>
      <c r="Q173" s="78"/>
    </row>
    <row r="174" spans="1:17" ht="15" x14ac:dyDescent="0.25">
      <c r="A174" s="78">
        <v>170</v>
      </c>
      <c r="B174" s="85" t="s">
        <v>561</v>
      </c>
      <c r="C174" s="85" t="s">
        <v>584</v>
      </c>
      <c r="D174" s="83" t="s">
        <v>764</v>
      </c>
      <c r="E174" s="79"/>
      <c r="F174" s="85" t="s">
        <v>1502</v>
      </c>
      <c r="G174" s="78"/>
      <c r="H174" s="78"/>
      <c r="I174" s="78"/>
      <c r="J174" s="78"/>
      <c r="K174" s="78"/>
      <c r="L174" s="78"/>
      <c r="M174" s="78"/>
      <c r="N174" s="78"/>
      <c r="O174" s="84" t="s">
        <v>1262</v>
      </c>
      <c r="P174" s="78"/>
      <c r="Q174" s="78"/>
    </row>
    <row r="175" spans="1:17" ht="15" x14ac:dyDescent="0.25">
      <c r="A175" s="78">
        <v>171</v>
      </c>
      <c r="B175" s="85" t="s">
        <v>561</v>
      </c>
      <c r="C175" s="85" t="s">
        <v>584</v>
      </c>
      <c r="D175" s="83" t="s">
        <v>765</v>
      </c>
      <c r="E175" s="79"/>
      <c r="F175" s="85" t="s">
        <v>1502</v>
      </c>
      <c r="G175" s="78"/>
      <c r="H175" s="78"/>
      <c r="I175" s="78"/>
      <c r="J175" s="78"/>
      <c r="K175" s="78"/>
      <c r="L175" s="78"/>
      <c r="M175" s="78"/>
      <c r="N175" s="78"/>
      <c r="O175" s="84" t="s">
        <v>1263</v>
      </c>
      <c r="P175" s="78"/>
      <c r="Q175" s="78"/>
    </row>
    <row r="176" spans="1:17" ht="15" x14ac:dyDescent="0.25">
      <c r="A176" s="78">
        <v>172</v>
      </c>
      <c r="B176" s="85" t="s">
        <v>561</v>
      </c>
      <c r="C176" s="85" t="s">
        <v>584</v>
      </c>
      <c r="D176" s="83" t="s">
        <v>766</v>
      </c>
      <c r="E176" s="79"/>
      <c r="F176" s="85" t="s">
        <v>1502</v>
      </c>
      <c r="G176" s="78"/>
      <c r="H176" s="78"/>
      <c r="I176" s="78"/>
      <c r="J176" s="78"/>
      <c r="K176" s="78"/>
      <c r="L176" s="78"/>
      <c r="M176" s="78"/>
      <c r="N176" s="78"/>
      <c r="O176" s="84" t="s">
        <v>1264</v>
      </c>
      <c r="P176" s="78"/>
      <c r="Q176" s="78"/>
    </row>
    <row r="177" spans="1:17" ht="15" x14ac:dyDescent="0.25">
      <c r="A177" s="78">
        <v>173</v>
      </c>
      <c r="B177" s="85" t="s">
        <v>561</v>
      </c>
      <c r="C177" s="85" t="s">
        <v>584</v>
      </c>
      <c r="D177" s="83" t="s">
        <v>767</v>
      </c>
      <c r="E177" s="79"/>
      <c r="F177" s="85" t="s">
        <v>1502</v>
      </c>
      <c r="G177" s="78"/>
      <c r="H177" s="78"/>
      <c r="I177" s="78"/>
      <c r="J177" s="78"/>
      <c r="K177" s="78"/>
      <c r="L177" s="78"/>
      <c r="M177" s="78"/>
      <c r="N177" s="78"/>
      <c r="O177" s="84" t="s">
        <v>1265</v>
      </c>
      <c r="P177" s="78"/>
      <c r="Q177" s="78"/>
    </row>
    <row r="178" spans="1:17" ht="15" x14ac:dyDescent="0.25">
      <c r="A178" s="78">
        <v>174</v>
      </c>
      <c r="B178" s="85" t="s">
        <v>561</v>
      </c>
      <c r="C178" s="85" t="s">
        <v>584</v>
      </c>
      <c r="D178" s="83" t="s">
        <v>768</v>
      </c>
      <c r="E178" s="79"/>
      <c r="F178" s="85" t="s">
        <v>1502</v>
      </c>
      <c r="G178" s="78"/>
      <c r="H178" s="78"/>
      <c r="I178" s="78"/>
      <c r="J178" s="78"/>
      <c r="K178" s="78"/>
      <c r="L178" s="78"/>
      <c r="M178" s="78"/>
      <c r="N178" s="78"/>
      <c r="O178" s="84" t="s">
        <v>1266</v>
      </c>
      <c r="P178" s="78"/>
      <c r="Q178" s="78"/>
    </row>
    <row r="179" spans="1:17" ht="15" x14ac:dyDescent="0.25">
      <c r="A179" s="78">
        <v>175</v>
      </c>
      <c r="B179" s="85" t="s">
        <v>561</v>
      </c>
      <c r="C179" s="85" t="s">
        <v>585</v>
      </c>
      <c r="D179" s="83" t="s">
        <v>769</v>
      </c>
      <c r="E179" s="79"/>
      <c r="F179" s="84" t="s">
        <v>1503</v>
      </c>
      <c r="G179" s="78"/>
      <c r="H179" s="78"/>
      <c r="I179" s="78"/>
      <c r="J179" s="78"/>
      <c r="K179" s="78"/>
      <c r="L179" s="78"/>
      <c r="M179" s="78"/>
      <c r="N179" s="78"/>
      <c r="O179" s="84" t="s">
        <v>1267</v>
      </c>
      <c r="P179" s="78"/>
      <c r="Q179" s="78"/>
    </row>
    <row r="180" spans="1:17" ht="15" x14ac:dyDescent="0.25">
      <c r="A180" s="78">
        <v>176</v>
      </c>
      <c r="B180" s="85" t="s">
        <v>561</v>
      </c>
      <c r="C180" s="85" t="s">
        <v>585</v>
      </c>
      <c r="D180" s="83" t="s">
        <v>770</v>
      </c>
      <c r="E180" s="79"/>
      <c r="F180" s="84" t="s">
        <v>1504</v>
      </c>
      <c r="G180" s="78"/>
      <c r="H180" s="78"/>
      <c r="I180" s="78"/>
      <c r="J180" s="78"/>
      <c r="K180" s="78"/>
      <c r="L180" s="78"/>
      <c r="M180" s="78"/>
      <c r="N180" s="78"/>
      <c r="O180" s="84" t="s">
        <v>1268</v>
      </c>
      <c r="P180" s="78"/>
      <c r="Q180" s="78"/>
    </row>
    <row r="181" spans="1:17" ht="15" x14ac:dyDescent="0.25">
      <c r="A181" s="78">
        <v>177</v>
      </c>
      <c r="B181" s="85" t="s">
        <v>561</v>
      </c>
      <c r="C181" s="85" t="s">
        <v>585</v>
      </c>
      <c r="D181" s="83" t="s">
        <v>771</v>
      </c>
      <c r="E181" s="79"/>
      <c r="F181" s="84"/>
      <c r="G181" s="78"/>
      <c r="H181" s="78"/>
      <c r="I181" s="78"/>
      <c r="J181" s="78"/>
      <c r="K181" s="78"/>
      <c r="L181" s="78"/>
      <c r="M181" s="78"/>
      <c r="N181" s="78"/>
      <c r="O181" s="84" t="s">
        <v>1269</v>
      </c>
      <c r="P181" s="78"/>
      <c r="Q181" s="78"/>
    </row>
    <row r="182" spans="1:17" ht="15" x14ac:dyDescent="0.25">
      <c r="A182" s="78">
        <v>178</v>
      </c>
      <c r="B182" s="85" t="s">
        <v>561</v>
      </c>
      <c r="C182" s="85" t="s">
        <v>585</v>
      </c>
      <c r="D182" s="83" t="s">
        <v>772</v>
      </c>
      <c r="E182" s="79"/>
      <c r="F182" s="84"/>
      <c r="G182" s="78"/>
      <c r="H182" s="78"/>
      <c r="I182" s="78"/>
      <c r="J182" s="78"/>
      <c r="K182" s="78"/>
      <c r="L182" s="78"/>
      <c r="M182" s="78"/>
      <c r="N182" s="78"/>
      <c r="O182" s="84" t="s">
        <v>1270</v>
      </c>
      <c r="P182" s="78"/>
      <c r="Q182" s="78"/>
    </row>
    <row r="183" spans="1:17" ht="15" x14ac:dyDescent="0.25">
      <c r="A183" s="78">
        <v>179</v>
      </c>
      <c r="B183" s="85" t="s">
        <v>561</v>
      </c>
      <c r="C183" s="85" t="s">
        <v>585</v>
      </c>
      <c r="D183" s="91" t="s">
        <v>773</v>
      </c>
      <c r="E183" s="79"/>
      <c r="F183" s="84"/>
      <c r="G183" s="78"/>
      <c r="H183" s="78"/>
      <c r="I183" s="78"/>
      <c r="J183" s="78"/>
      <c r="K183" s="78"/>
      <c r="L183" s="78"/>
      <c r="M183" s="78"/>
      <c r="N183" s="78"/>
      <c r="O183" s="84" t="s">
        <v>1271</v>
      </c>
      <c r="P183" s="78"/>
      <c r="Q183" s="78"/>
    </row>
    <row r="184" spans="1:17" ht="15" x14ac:dyDescent="0.25">
      <c r="A184" s="78">
        <v>180</v>
      </c>
      <c r="B184" s="85" t="s">
        <v>561</v>
      </c>
      <c r="C184" s="85" t="s">
        <v>585</v>
      </c>
      <c r="D184" s="83" t="s">
        <v>774</v>
      </c>
      <c r="E184" s="79"/>
      <c r="F184" s="84"/>
      <c r="G184" s="78"/>
      <c r="H184" s="78"/>
      <c r="I184" s="78"/>
      <c r="J184" s="78"/>
      <c r="K184" s="78"/>
      <c r="L184" s="78"/>
      <c r="M184" s="78"/>
      <c r="N184" s="78"/>
      <c r="O184" s="84" t="s">
        <v>1272</v>
      </c>
      <c r="P184" s="78"/>
      <c r="Q184" s="78"/>
    </row>
    <row r="185" spans="1:17" ht="15" x14ac:dyDescent="0.25">
      <c r="A185" s="78">
        <v>181</v>
      </c>
      <c r="B185" s="85" t="s">
        <v>561</v>
      </c>
      <c r="C185" s="85" t="s">
        <v>585</v>
      </c>
      <c r="D185" s="83" t="s">
        <v>775</v>
      </c>
      <c r="E185" s="79"/>
      <c r="F185" s="84"/>
      <c r="G185" s="78"/>
      <c r="H185" s="78"/>
      <c r="I185" s="78"/>
      <c r="J185" s="78"/>
      <c r="K185" s="78"/>
      <c r="L185" s="78"/>
      <c r="M185" s="78"/>
      <c r="N185" s="78"/>
      <c r="O185" s="84" t="s">
        <v>1273</v>
      </c>
      <c r="P185" s="78"/>
      <c r="Q185" s="78"/>
    </row>
    <row r="186" spans="1:17" ht="15" x14ac:dyDescent="0.25">
      <c r="A186" s="78">
        <v>182</v>
      </c>
      <c r="B186" s="85" t="s">
        <v>561</v>
      </c>
      <c r="C186" s="84" t="s">
        <v>1101</v>
      </c>
      <c r="D186" s="84" t="s">
        <v>986</v>
      </c>
      <c r="E186" s="79"/>
      <c r="F186" s="83" t="s">
        <v>230</v>
      </c>
      <c r="G186" s="78"/>
      <c r="H186" s="78"/>
      <c r="I186" s="78"/>
      <c r="J186" s="78"/>
      <c r="K186" s="78"/>
      <c r="L186" s="78"/>
      <c r="M186" s="78"/>
      <c r="N186" s="78"/>
      <c r="O186" s="84" t="s">
        <v>1274</v>
      </c>
      <c r="P186" s="78"/>
      <c r="Q186" s="78"/>
    </row>
    <row r="187" spans="1:17" ht="17.25" customHeight="1" x14ac:dyDescent="0.25">
      <c r="A187" s="78">
        <v>183</v>
      </c>
      <c r="B187" s="85" t="s">
        <v>561</v>
      </c>
      <c r="C187" s="84" t="s">
        <v>1101</v>
      </c>
      <c r="D187" s="83" t="s">
        <v>776</v>
      </c>
      <c r="E187" s="79"/>
      <c r="F187" s="83" t="s">
        <v>921</v>
      </c>
      <c r="G187" s="78"/>
      <c r="H187" s="78"/>
      <c r="I187" s="78"/>
      <c r="J187" s="78"/>
      <c r="K187" s="78"/>
      <c r="L187" s="78"/>
      <c r="M187" s="78"/>
      <c r="N187" s="78"/>
      <c r="O187" s="88" t="s">
        <v>1275</v>
      </c>
      <c r="P187" s="78"/>
      <c r="Q187" s="78"/>
    </row>
    <row r="188" spans="1:17" ht="15" x14ac:dyDescent="0.25">
      <c r="A188" s="78">
        <v>184</v>
      </c>
      <c r="B188" s="85" t="s">
        <v>561</v>
      </c>
      <c r="C188" s="84" t="s">
        <v>1101</v>
      </c>
      <c r="D188" s="84" t="s">
        <v>987</v>
      </c>
      <c r="E188" s="79"/>
      <c r="F188" s="84"/>
      <c r="G188" s="78"/>
      <c r="H188" s="78"/>
      <c r="I188" s="78"/>
      <c r="J188" s="78"/>
      <c r="K188" s="78"/>
      <c r="L188" s="78"/>
      <c r="M188" s="78"/>
      <c r="N188" s="78"/>
      <c r="O188" s="84" t="s">
        <v>1276</v>
      </c>
      <c r="P188" s="78"/>
      <c r="Q188" s="78"/>
    </row>
    <row r="189" spans="1:17" ht="15" x14ac:dyDescent="0.25">
      <c r="A189" s="78">
        <v>185</v>
      </c>
      <c r="B189" s="85" t="s">
        <v>561</v>
      </c>
      <c r="C189" s="84" t="s">
        <v>1101</v>
      </c>
      <c r="D189" s="84" t="s">
        <v>988</v>
      </c>
      <c r="E189" s="79"/>
      <c r="F189" s="84"/>
      <c r="G189" s="78"/>
      <c r="H189" s="78"/>
      <c r="I189" s="78"/>
      <c r="J189" s="78"/>
      <c r="K189" s="78"/>
      <c r="L189" s="78"/>
      <c r="M189" s="78"/>
      <c r="N189" s="78"/>
      <c r="O189" s="84" t="s">
        <v>1277</v>
      </c>
      <c r="P189" s="78"/>
      <c r="Q189" s="78"/>
    </row>
    <row r="190" spans="1:17" ht="15" x14ac:dyDescent="0.25">
      <c r="A190" s="78">
        <v>186</v>
      </c>
      <c r="B190" s="85" t="s">
        <v>561</v>
      </c>
      <c r="C190" s="84" t="s">
        <v>1101</v>
      </c>
      <c r="D190" s="81" t="s">
        <v>989</v>
      </c>
      <c r="E190" s="79"/>
      <c r="F190" s="84"/>
      <c r="G190" s="78"/>
      <c r="H190" s="78"/>
      <c r="I190" s="78"/>
      <c r="J190" s="78"/>
      <c r="K190" s="78"/>
      <c r="L190" s="78"/>
      <c r="M190" s="78"/>
      <c r="N190" s="78"/>
      <c r="O190" s="84" t="s">
        <v>1278</v>
      </c>
      <c r="P190" s="78"/>
      <c r="Q190" s="78"/>
    </row>
    <row r="191" spans="1:17" ht="15" x14ac:dyDescent="0.25">
      <c r="A191" s="78">
        <v>187</v>
      </c>
      <c r="B191" s="85" t="s">
        <v>561</v>
      </c>
      <c r="C191" s="84" t="s">
        <v>1101</v>
      </c>
      <c r="D191" s="84" t="s">
        <v>990</v>
      </c>
      <c r="E191" s="79"/>
      <c r="F191" s="84"/>
      <c r="G191" s="78"/>
      <c r="H191" s="78"/>
      <c r="I191" s="78"/>
      <c r="J191" s="78"/>
      <c r="K191" s="78"/>
      <c r="L191" s="78"/>
      <c r="M191" s="78"/>
      <c r="N191" s="78"/>
      <c r="O191" s="83" t="s">
        <v>1494</v>
      </c>
      <c r="P191" s="78"/>
      <c r="Q191" s="78"/>
    </row>
    <row r="192" spans="1:17" ht="15" x14ac:dyDescent="0.25">
      <c r="A192" s="78">
        <v>188</v>
      </c>
      <c r="B192" s="85" t="s">
        <v>561</v>
      </c>
      <c r="C192" s="84" t="s">
        <v>1101</v>
      </c>
      <c r="D192" s="84" t="s">
        <v>991</v>
      </c>
      <c r="E192" s="79"/>
      <c r="F192" s="84"/>
      <c r="G192" s="78"/>
      <c r="H192" s="78"/>
      <c r="I192" s="78"/>
      <c r="J192" s="78"/>
      <c r="K192" s="78"/>
      <c r="L192" s="78"/>
      <c r="M192" s="78"/>
      <c r="N192" s="78"/>
      <c r="O192" s="84" t="s">
        <v>1279</v>
      </c>
      <c r="P192" s="78"/>
      <c r="Q192" s="78"/>
    </row>
    <row r="193" spans="1:17" ht="15" x14ac:dyDescent="0.25">
      <c r="A193" s="78">
        <v>189</v>
      </c>
      <c r="B193" s="85" t="s">
        <v>561</v>
      </c>
      <c r="C193" s="84" t="s">
        <v>1101</v>
      </c>
      <c r="D193" s="84" t="s">
        <v>992</v>
      </c>
      <c r="E193" s="79"/>
      <c r="F193" s="84"/>
      <c r="G193" s="78"/>
      <c r="H193" s="78"/>
      <c r="I193" s="78"/>
      <c r="J193" s="78"/>
      <c r="K193" s="78"/>
      <c r="L193" s="78"/>
      <c r="M193" s="78"/>
      <c r="N193" s="78"/>
      <c r="O193" s="84" t="s">
        <v>1280</v>
      </c>
      <c r="P193" s="78"/>
      <c r="Q193" s="78"/>
    </row>
    <row r="194" spans="1:17" ht="15" x14ac:dyDescent="0.25">
      <c r="A194" s="78">
        <v>190</v>
      </c>
      <c r="B194" s="85" t="s">
        <v>561</v>
      </c>
      <c r="C194" s="84" t="s">
        <v>1101</v>
      </c>
      <c r="D194" s="84" t="s">
        <v>993</v>
      </c>
      <c r="E194" s="79"/>
      <c r="F194" s="84"/>
      <c r="G194" s="78"/>
      <c r="H194" s="78"/>
      <c r="I194" s="78"/>
      <c r="J194" s="78"/>
      <c r="K194" s="78"/>
      <c r="L194" s="78"/>
      <c r="M194" s="78"/>
      <c r="N194" s="78"/>
      <c r="O194" s="84" t="s">
        <v>1281</v>
      </c>
      <c r="P194" s="78"/>
      <c r="Q194" s="78"/>
    </row>
    <row r="195" spans="1:17" ht="15" x14ac:dyDescent="0.25">
      <c r="A195" s="78">
        <v>191</v>
      </c>
      <c r="B195" s="85" t="s">
        <v>561</v>
      </c>
      <c r="C195" s="84" t="s">
        <v>1101</v>
      </c>
      <c r="D195" s="84" t="s">
        <v>994</v>
      </c>
      <c r="E195" s="79"/>
      <c r="F195" s="84"/>
      <c r="G195" s="78"/>
      <c r="H195" s="78"/>
      <c r="I195" s="78"/>
      <c r="J195" s="78"/>
      <c r="K195" s="78"/>
      <c r="L195" s="78"/>
      <c r="M195" s="78"/>
      <c r="N195" s="78"/>
      <c r="O195" s="84" t="s">
        <v>1282</v>
      </c>
      <c r="P195" s="78"/>
      <c r="Q195" s="78"/>
    </row>
    <row r="196" spans="1:17" ht="15" x14ac:dyDescent="0.25">
      <c r="A196" s="78">
        <v>192</v>
      </c>
      <c r="B196" s="85" t="s">
        <v>561</v>
      </c>
      <c r="C196" s="84" t="s">
        <v>1101</v>
      </c>
      <c r="D196" s="84" t="s">
        <v>995</v>
      </c>
      <c r="E196" s="79"/>
      <c r="F196" s="84"/>
      <c r="G196" s="78"/>
      <c r="H196" s="78"/>
      <c r="I196" s="78"/>
      <c r="J196" s="78"/>
      <c r="K196" s="78"/>
      <c r="L196" s="78"/>
      <c r="M196" s="78"/>
      <c r="N196" s="78"/>
      <c r="O196" s="84" t="s">
        <v>1283</v>
      </c>
      <c r="P196" s="78"/>
      <c r="Q196" s="78"/>
    </row>
    <row r="197" spans="1:17" ht="15" x14ac:dyDescent="0.25">
      <c r="A197" s="78">
        <v>193</v>
      </c>
      <c r="B197" s="85" t="s">
        <v>561</v>
      </c>
      <c r="C197" s="84" t="s">
        <v>1101</v>
      </c>
      <c r="D197" s="84" t="s">
        <v>996</v>
      </c>
      <c r="E197" s="79"/>
      <c r="F197" s="84"/>
      <c r="G197" s="78"/>
      <c r="H197" s="78"/>
      <c r="I197" s="78"/>
      <c r="J197" s="78"/>
      <c r="K197" s="78"/>
      <c r="L197" s="78"/>
      <c r="M197" s="78"/>
      <c r="N197" s="78"/>
      <c r="O197" s="84" t="s">
        <v>1284</v>
      </c>
      <c r="P197" s="78"/>
      <c r="Q197" s="78"/>
    </row>
    <row r="198" spans="1:17" ht="15" x14ac:dyDescent="0.25">
      <c r="A198" s="78">
        <v>194</v>
      </c>
      <c r="B198" s="85" t="s">
        <v>561</v>
      </c>
      <c r="C198" s="84" t="s">
        <v>1101</v>
      </c>
      <c r="D198" s="84" t="s">
        <v>997</v>
      </c>
      <c r="E198" s="79"/>
      <c r="F198" s="84"/>
      <c r="G198" s="78"/>
      <c r="H198" s="78"/>
      <c r="I198" s="78"/>
      <c r="J198" s="78"/>
      <c r="K198" s="78"/>
      <c r="L198" s="78"/>
      <c r="M198" s="78"/>
      <c r="N198" s="78"/>
      <c r="O198" s="89" t="s">
        <v>934</v>
      </c>
      <c r="P198" s="78"/>
      <c r="Q198" s="78"/>
    </row>
    <row r="199" spans="1:17" ht="15" x14ac:dyDescent="0.25">
      <c r="A199" s="78">
        <v>195</v>
      </c>
      <c r="B199" s="85" t="s">
        <v>561</v>
      </c>
      <c r="C199" s="84" t="s">
        <v>1101</v>
      </c>
      <c r="D199" s="84" t="s">
        <v>998</v>
      </c>
      <c r="E199" s="79"/>
      <c r="F199" s="84"/>
      <c r="G199" s="78"/>
      <c r="H199" s="78"/>
      <c r="I199" s="78"/>
      <c r="J199" s="78"/>
      <c r="K199" s="78"/>
      <c r="L199" s="78"/>
      <c r="M199" s="78"/>
      <c r="N199" s="78"/>
      <c r="O199" s="89" t="s">
        <v>935</v>
      </c>
      <c r="P199" s="78"/>
      <c r="Q199" s="78"/>
    </row>
    <row r="200" spans="1:17" ht="15" x14ac:dyDescent="0.25">
      <c r="A200" s="78">
        <v>196</v>
      </c>
      <c r="B200" s="85" t="s">
        <v>561</v>
      </c>
      <c r="C200" s="84" t="s">
        <v>1101</v>
      </c>
      <c r="D200" s="84" t="s">
        <v>999</v>
      </c>
      <c r="E200" s="79"/>
      <c r="F200" s="84"/>
      <c r="G200" s="78"/>
      <c r="H200" s="78"/>
      <c r="I200" s="78"/>
      <c r="J200" s="78"/>
      <c r="K200" s="78"/>
      <c r="L200" s="78"/>
      <c r="M200" s="78"/>
      <c r="N200" s="78"/>
      <c r="O200" s="84" t="s">
        <v>1285</v>
      </c>
      <c r="P200" s="78"/>
      <c r="Q200" s="78"/>
    </row>
    <row r="201" spans="1:17" ht="15" x14ac:dyDescent="0.25">
      <c r="A201" s="78">
        <v>197</v>
      </c>
      <c r="B201" s="85" t="s">
        <v>561</v>
      </c>
      <c r="C201" s="84" t="s">
        <v>1101</v>
      </c>
      <c r="D201" s="84" t="s">
        <v>1000</v>
      </c>
      <c r="E201" s="79"/>
      <c r="F201" s="84"/>
      <c r="G201" s="78"/>
      <c r="H201" s="78"/>
      <c r="I201" s="78"/>
      <c r="J201" s="78"/>
      <c r="K201" s="78"/>
      <c r="L201" s="78"/>
      <c r="M201" s="78"/>
      <c r="N201" s="78"/>
      <c r="O201" s="84" t="s">
        <v>1286</v>
      </c>
      <c r="P201" s="78"/>
      <c r="Q201" s="78"/>
    </row>
    <row r="202" spans="1:17" ht="15" x14ac:dyDescent="0.25">
      <c r="A202" s="78">
        <v>198</v>
      </c>
      <c r="B202" s="85" t="s">
        <v>562</v>
      </c>
      <c r="C202" s="85" t="s">
        <v>562</v>
      </c>
      <c r="D202" s="83" t="s">
        <v>1001</v>
      </c>
      <c r="E202" s="79"/>
      <c r="F202" s="83" t="s">
        <v>919</v>
      </c>
      <c r="G202" s="78"/>
      <c r="H202" s="78"/>
      <c r="I202" s="78"/>
      <c r="J202" s="78"/>
      <c r="K202" s="78"/>
      <c r="L202" s="78"/>
      <c r="M202" s="78"/>
      <c r="N202" s="78"/>
      <c r="O202" s="89" t="s">
        <v>936</v>
      </c>
      <c r="P202" s="78"/>
      <c r="Q202" s="78"/>
    </row>
    <row r="203" spans="1:17" ht="15" x14ac:dyDescent="0.25">
      <c r="A203" s="78">
        <v>199</v>
      </c>
      <c r="B203" s="85" t="s">
        <v>562</v>
      </c>
      <c r="C203" s="85" t="s">
        <v>562</v>
      </c>
      <c r="D203" s="84" t="s">
        <v>1002</v>
      </c>
      <c r="E203" s="79"/>
      <c r="F203" s="83" t="s">
        <v>920</v>
      </c>
      <c r="G203" s="78"/>
      <c r="H203" s="78"/>
      <c r="I203" s="78"/>
      <c r="J203" s="78"/>
      <c r="K203" s="78"/>
      <c r="L203" s="78"/>
      <c r="M203" s="78"/>
      <c r="N203" s="78"/>
      <c r="O203" s="92" t="s">
        <v>937</v>
      </c>
      <c r="P203" s="78"/>
      <c r="Q203" s="78"/>
    </row>
    <row r="204" spans="1:17" ht="15" x14ac:dyDescent="0.25">
      <c r="A204" s="78">
        <v>200</v>
      </c>
      <c r="B204" s="85" t="s">
        <v>562</v>
      </c>
      <c r="C204" s="85" t="s">
        <v>562</v>
      </c>
      <c r="D204" s="83" t="s">
        <v>1003</v>
      </c>
      <c r="E204" s="79"/>
      <c r="F204" s="84"/>
      <c r="G204" s="78"/>
      <c r="H204" s="78"/>
      <c r="I204" s="78"/>
      <c r="J204" s="78"/>
      <c r="K204" s="78"/>
      <c r="L204" s="78"/>
      <c r="M204" s="78"/>
      <c r="N204" s="78"/>
      <c r="O204" s="84" t="s">
        <v>1287</v>
      </c>
      <c r="P204" s="78"/>
      <c r="Q204" s="78"/>
    </row>
    <row r="205" spans="1:17" ht="15" x14ac:dyDescent="0.25">
      <c r="A205" s="78">
        <v>201</v>
      </c>
      <c r="B205" s="85" t="s">
        <v>562</v>
      </c>
      <c r="C205" s="85" t="s">
        <v>562</v>
      </c>
      <c r="D205" s="84" t="s">
        <v>1004</v>
      </c>
      <c r="E205" s="79"/>
      <c r="F205" s="84"/>
      <c r="G205" s="78"/>
      <c r="H205" s="78"/>
      <c r="I205" s="78"/>
      <c r="J205" s="78"/>
      <c r="K205" s="78"/>
      <c r="L205" s="78"/>
      <c r="M205" s="78"/>
      <c r="N205" s="78"/>
      <c r="O205" s="98" t="s">
        <v>938</v>
      </c>
      <c r="P205" s="78"/>
      <c r="Q205" s="78"/>
    </row>
    <row r="206" spans="1:17" ht="15" x14ac:dyDescent="0.25">
      <c r="A206" s="78">
        <v>202</v>
      </c>
      <c r="B206" s="85" t="s">
        <v>562</v>
      </c>
      <c r="C206" s="85" t="s">
        <v>562</v>
      </c>
      <c r="D206" s="84" t="s">
        <v>1005</v>
      </c>
      <c r="E206" s="79"/>
      <c r="F206" s="84"/>
      <c r="G206" s="78"/>
      <c r="H206" s="78"/>
      <c r="I206" s="78"/>
      <c r="J206" s="78"/>
      <c r="K206" s="78"/>
      <c r="L206" s="78"/>
      <c r="M206" s="78"/>
      <c r="N206" s="78"/>
      <c r="O206" s="84" t="s">
        <v>1288</v>
      </c>
      <c r="P206" s="78"/>
      <c r="Q206" s="78"/>
    </row>
    <row r="207" spans="1:17" s="15" customFormat="1" ht="15" x14ac:dyDescent="0.25">
      <c r="A207" s="102">
        <v>202</v>
      </c>
      <c r="B207" s="103" t="s">
        <v>562</v>
      </c>
      <c r="C207" s="103" t="s">
        <v>562</v>
      </c>
      <c r="D207" s="104" t="s">
        <v>1539</v>
      </c>
      <c r="E207" s="105"/>
      <c r="F207" s="104"/>
      <c r="G207" s="102"/>
      <c r="H207" s="102"/>
      <c r="I207" s="102"/>
      <c r="J207" s="102"/>
      <c r="K207" s="102"/>
      <c r="L207" s="102"/>
      <c r="M207" s="102"/>
      <c r="N207" s="102"/>
      <c r="O207" s="106" t="s">
        <v>1546</v>
      </c>
      <c r="P207" s="102"/>
      <c r="Q207" s="102"/>
    </row>
    <row r="208" spans="1:17" ht="15" x14ac:dyDescent="0.25">
      <c r="A208" s="78">
        <v>203</v>
      </c>
      <c r="B208" s="85" t="s">
        <v>562</v>
      </c>
      <c r="C208" s="84" t="s">
        <v>1102</v>
      </c>
      <c r="D208" s="84" t="s">
        <v>1006</v>
      </c>
      <c r="E208" s="79"/>
      <c r="F208" s="83" t="s">
        <v>323</v>
      </c>
      <c r="G208" s="78"/>
      <c r="H208" s="78"/>
      <c r="I208" s="78"/>
      <c r="J208" s="78"/>
      <c r="K208" s="78"/>
      <c r="L208" s="78"/>
      <c r="M208" s="78"/>
      <c r="N208" s="78"/>
      <c r="O208" s="89" t="s">
        <v>939</v>
      </c>
      <c r="P208" s="78"/>
      <c r="Q208" s="78"/>
    </row>
    <row r="209" spans="1:17" ht="15" x14ac:dyDescent="0.25">
      <c r="A209" s="78">
        <v>204</v>
      </c>
      <c r="B209" s="85" t="s">
        <v>562</v>
      </c>
      <c r="C209" s="84" t="s">
        <v>1102</v>
      </c>
      <c r="D209" s="84" t="s">
        <v>1007</v>
      </c>
      <c r="E209" s="79"/>
      <c r="F209" s="83" t="s">
        <v>918</v>
      </c>
      <c r="G209" s="78"/>
      <c r="H209" s="78"/>
      <c r="I209" s="78"/>
      <c r="J209" s="78"/>
      <c r="K209" s="78"/>
      <c r="L209" s="78"/>
      <c r="M209" s="78"/>
      <c r="N209" s="78"/>
      <c r="O209" s="84" t="s">
        <v>1289</v>
      </c>
      <c r="P209" s="78"/>
      <c r="Q209" s="78"/>
    </row>
    <row r="210" spans="1:17" ht="15" x14ac:dyDescent="0.25">
      <c r="A210" s="78">
        <v>205</v>
      </c>
      <c r="B210" s="85" t="s">
        <v>562</v>
      </c>
      <c r="C210" s="84" t="s">
        <v>1102</v>
      </c>
      <c r="D210" s="83" t="s">
        <v>1008</v>
      </c>
      <c r="E210" s="79"/>
      <c r="F210" s="85" t="s">
        <v>1502</v>
      </c>
      <c r="G210" s="78"/>
      <c r="H210" s="78"/>
      <c r="I210" s="78"/>
      <c r="J210" s="78"/>
      <c r="K210" s="78"/>
      <c r="L210" s="78"/>
      <c r="M210" s="78"/>
      <c r="N210" s="78"/>
      <c r="O210" s="84" t="s">
        <v>1290</v>
      </c>
      <c r="P210" s="78"/>
      <c r="Q210" s="78"/>
    </row>
    <row r="211" spans="1:17" ht="15" x14ac:dyDescent="0.25">
      <c r="A211" s="78">
        <v>206</v>
      </c>
      <c r="B211" s="85" t="s">
        <v>562</v>
      </c>
      <c r="C211" s="84" t="s">
        <v>1102</v>
      </c>
      <c r="D211" s="84" t="s">
        <v>1009</v>
      </c>
      <c r="E211" s="79"/>
      <c r="F211" s="85" t="s">
        <v>1502</v>
      </c>
      <c r="G211" s="78"/>
      <c r="H211" s="78"/>
      <c r="I211" s="78"/>
      <c r="J211" s="78"/>
      <c r="K211" s="78"/>
      <c r="L211" s="78"/>
      <c r="M211" s="78"/>
      <c r="N211" s="78"/>
      <c r="O211" s="84" t="s">
        <v>1291</v>
      </c>
      <c r="P211" s="78"/>
      <c r="Q211" s="78"/>
    </row>
    <row r="212" spans="1:17" ht="15" x14ac:dyDescent="0.25">
      <c r="A212" s="78">
        <v>207</v>
      </c>
      <c r="B212" s="85" t="s">
        <v>562</v>
      </c>
      <c r="C212" s="84" t="s">
        <v>1102</v>
      </c>
      <c r="D212" s="84" t="s">
        <v>1010</v>
      </c>
      <c r="E212" s="79"/>
      <c r="F212" s="85" t="s">
        <v>1502</v>
      </c>
      <c r="G212" s="78"/>
      <c r="H212" s="78"/>
      <c r="I212" s="78"/>
      <c r="J212" s="78"/>
      <c r="K212" s="78"/>
      <c r="L212" s="78"/>
      <c r="M212" s="78"/>
      <c r="N212" s="78"/>
      <c r="O212" s="84" t="s">
        <v>1292</v>
      </c>
      <c r="P212" s="78"/>
      <c r="Q212" s="78"/>
    </row>
    <row r="213" spans="1:17" ht="15" x14ac:dyDescent="0.25">
      <c r="A213" s="78">
        <v>208</v>
      </c>
      <c r="B213" s="85" t="s">
        <v>562</v>
      </c>
      <c r="C213" s="84" t="s">
        <v>1102</v>
      </c>
      <c r="D213" s="84" t="s">
        <v>1011</v>
      </c>
      <c r="E213" s="79"/>
      <c r="F213" s="85" t="s">
        <v>1502</v>
      </c>
      <c r="G213" s="78"/>
      <c r="H213" s="78"/>
      <c r="I213" s="78"/>
      <c r="J213" s="78"/>
      <c r="K213" s="78"/>
      <c r="L213" s="78"/>
      <c r="M213" s="78"/>
      <c r="N213" s="78"/>
      <c r="O213" s="92" t="s">
        <v>940</v>
      </c>
      <c r="P213" s="78"/>
      <c r="Q213" s="78"/>
    </row>
    <row r="214" spans="1:17" ht="15" x14ac:dyDescent="0.25">
      <c r="A214" s="78">
        <v>209</v>
      </c>
      <c r="B214" s="85" t="s">
        <v>562</v>
      </c>
      <c r="C214" s="84" t="s">
        <v>1102</v>
      </c>
      <c r="D214" s="84" t="s">
        <v>1012</v>
      </c>
      <c r="E214" s="79"/>
      <c r="F214" s="85" t="s">
        <v>1502</v>
      </c>
      <c r="G214" s="78"/>
      <c r="H214" s="78"/>
      <c r="I214" s="78"/>
      <c r="J214" s="78"/>
      <c r="K214" s="78"/>
      <c r="L214" s="78"/>
      <c r="M214" s="78"/>
      <c r="N214" s="78"/>
      <c r="O214" s="89" t="s">
        <v>941</v>
      </c>
      <c r="P214" s="78"/>
      <c r="Q214" s="78"/>
    </row>
    <row r="215" spans="1:17" ht="15" x14ac:dyDescent="0.25">
      <c r="A215" s="78">
        <v>210</v>
      </c>
      <c r="B215" s="85" t="s">
        <v>562</v>
      </c>
      <c r="C215" s="84" t="s">
        <v>1102</v>
      </c>
      <c r="D215" s="84" t="s">
        <v>1013</v>
      </c>
      <c r="E215" s="79"/>
      <c r="F215" s="85" t="s">
        <v>1502</v>
      </c>
      <c r="G215" s="78"/>
      <c r="H215" s="78"/>
      <c r="I215" s="78"/>
      <c r="J215" s="78"/>
      <c r="K215" s="78"/>
      <c r="L215" s="78"/>
      <c r="M215" s="78"/>
      <c r="N215" s="78"/>
      <c r="O215" s="92" t="s">
        <v>942</v>
      </c>
      <c r="P215" s="78"/>
      <c r="Q215" s="78"/>
    </row>
    <row r="216" spans="1:17" ht="15" x14ac:dyDescent="0.25">
      <c r="A216" s="78">
        <v>211</v>
      </c>
      <c r="B216" s="85" t="s">
        <v>562</v>
      </c>
      <c r="C216" s="84" t="s">
        <v>1102</v>
      </c>
      <c r="D216" s="83" t="s">
        <v>635</v>
      </c>
      <c r="E216" s="79"/>
      <c r="F216" s="85" t="s">
        <v>1502</v>
      </c>
      <c r="G216" s="78"/>
      <c r="H216" s="78"/>
      <c r="I216" s="78"/>
      <c r="J216" s="78"/>
      <c r="K216" s="78"/>
      <c r="L216" s="78"/>
      <c r="M216" s="78"/>
      <c r="N216" s="78"/>
      <c r="O216" s="84" t="s">
        <v>1293</v>
      </c>
      <c r="P216" s="78"/>
      <c r="Q216" s="78"/>
    </row>
    <row r="217" spans="1:17" ht="15" x14ac:dyDescent="0.25">
      <c r="A217" s="78">
        <v>212</v>
      </c>
      <c r="B217" s="85" t="s">
        <v>562</v>
      </c>
      <c r="C217" s="84" t="s">
        <v>1102</v>
      </c>
      <c r="D217" s="83" t="s">
        <v>777</v>
      </c>
      <c r="E217" s="79"/>
      <c r="F217" s="85" t="s">
        <v>1502</v>
      </c>
      <c r="G217" s="78"/>
      <c r="H217" s="78"/>
      <c r="I217" s="78"/>
      <c r="J217" s="78"/>
      <c r="K217" s="78"/>
      <c r="L217" s="78"/>
      <c r="M217" s="78"/>
      <c r="N217" s="78"/>
      <c r="O217" s="89" t="s">
        <v>943</v>
      </c>
      <c r="P217" s="78"/>
      <c r="Q217" s="78"/>
    </row>
    <row r="218" spans="1:17" ht="15" x14ac:dyDescent="0.25">
      <c r="A218" s="78">
        <v>213</v>
      </c>
      <c r="B218" s="85" t="s">
        <v>562</v>
      </c>
      <c r="C218" s="84" t="s">
        <v>1102</v>
      </c>
      <c r="D218" s="83" t="s">
        <v>778</v>
      </c>
      <c r="E218" s="79"/>
      <c r="F218" s="85" t="s">
        <v>1502</v>
      </c>
      <c r="G218" s="78"/>
      <c r="H218" s="78"/>
      <c r="I218" s="78"/>
      <c r="J218" s="78"/>
      <c r="K218" s="78"/>
      <c r="L218" s="78"/>
      <c r="M218" s="78"/>
      <c r="N218" s="78"/>
      <c r="O218" s="89" t="s">
        <v>944</v>
      </c>
      <c r="P218" s="78"/>
      <c r="Q218" s="78"/>
    </row>
    <row r="219" spans="1:17" ht="15" x14ac:dyDescent="0.25">
      <c r="A219" s="78">
        <v>214</v>
      </c>
      <c r="B219" s="85" t="s">
        <v>562</v>
      </c>
      <c r="C219" s="85" t="s">
        <v>408</v>
      </c>
      <c r="D219" s="83" t="s">
        <v>779</v>
      </c>
      <c r="E219" s="79"/>
      <c r="F219" s="83" t="s">
        <v>323</v>
      </c>
      <c r="G219" s="78"/>
      <c r="H219" s="78"/>
      <c r="I219" s="78"/>
      <c r="J219" s="78"/>
      <c r="K219" s="78"/>
      <c r="L219" s="78"/>
      <c r="M219" s="78"/>
      <c r="N219" s="78"/>
      <c r="O219" s="84" t="s">
        <v>1294</v>
      </c>
      <c r="P219" s="78"/>
      <c r="Q219" s="78"/>
    </row>
    <row r="220" spans="1:17" ht="15" x14ac:dyDescent="0.25">
      <c r="A220" s="78">
        <v>215</v>
      </c>
      <c r="B220" s="85" t="s">
        <v>562</v>
      </c>
      <c r="C220" s="85" t="s">
        <v>408</v>
      </c>
      <c r="D220" s="83" t="s">
        <v>780</v>
      </c>
      <c r="E220" s="79"/>
      <c r="F220" s="83" t="s">
        <v>918</v>
      </c>
      <c r="G220" s="78"/>
      <c r="H220" s="78"/>
      <c r="I220" s="78"/>
      <c r="J220" s="78"/>
      <c r="K220" s="78"/>
      <c r="L220" s="78"/>
      <c r="M220" s="78"/>
      <c r="N220" s="78"/>
      <c r="O220" s="81" t="s">
        <v>1295</v>
      </c>
      <c r="P220" s="78"/>
      <c r="Q220" s="78"/>
    </row>
    <row r="221" spans="1:17" ht="15" x14ac:dyDescent="0.25">
      <c r="A221" s="78">
        <v>216</v>
      </c>
      <c r="B221" s="85" t="s">
        <v>562</v>
      </c>
      <c r="C221" s="85" t="s">
        <v>408</v>
      </c>
      <c r="D221" s="83" t="s">
        <v>781</v>
      </c>
      <c r="E221" s="79"/>
      <c r="F221" s="85" t="s">
        <v>1502</v>
      </c>
      <c r="G221" s="78"/>
      <c r="H221" s="78"/>
      <c r="I221" s="78"/>
      <c r="J221" s="78"/>
      <c r="K221" s="78"/>
      <c r="L221" s="78"/>
      <c r="M221" s="78"/>
      <c r="N221" s="78"/>
      <c r="O221" s="81"/>
      <c r="P221" s="78"/>
      <c r="Q221" s="78"/>
    </row>
    <row r="222" spans="1:17" ht="15" x14ac:dyDescent="0.25">
      <c r="A222" s="78">
        <v>217</v>
      </c>
      <c r="B222" s="85" t="s">
        <v>562</v>
      </c>
      <c r="C222" s="85" t="s">
        <v>408</v>
      </c>
      <c r="D222" s="83" t="s">
        <v>782</v>
      </c>
      <c r="E222" s="79"/>
      <c r="F222" s="85" t="s">
        <v>1502</v>
      </c>
      <c r="G222" s="78"/>
      <c r="H222" s="78"/>
      <c r="I222" s="78"/>
      <c r="J222" s="78"/>
      <c r="K222" s="78"/>
      <c r="L222" s="78"/>
      <c r="M222" s="78"/>
      <c r="N222" s="78"/>
      <c r="O222" s="81" t="s">
        <v>1296</v>
      </c>
      <c r="P222" s="78"/>
      <c r="Q222" s="78"/>
    </row>
    <row r="223" spans="1:17" ht="15" x14ac:dyDescent="0.25">
      <c r="A223" s="78">
        <v>218</v>
      </c>
      <c r="B223" s="85" t="s">
        <v>562</v>
      </c>
      <c r="C223" s="85" t="s">
        <v>408</v>
      </c>
      <c r="D223" s="83" t="s">
        <v>783</v>
      </c>
      <c r="E223" s="79"/>
      <c r="F223" s="85" t="s">
        <v>1502</v>
      </c>
      <c r="G223" s="78"/>
      <c r="H223" s="78"/>
      <c r="I223" s="78"/>
      <c r="J223" s="78"/>
      <c r="K223" s="78"/>
      <c r="L223" s="78"/>
      <c r="M223" s="78"/>
      <c r="N223" s="78"/>
      <c r="O223" s="81"/>
      <c r="P223" s="78"/>
      <c r="Q223" s="78"/>
    </row>
    <row r="224" spans="1:17" ht="15" x14ac:dyDescent="0.25">
      <c r="A224" s="78">
        <v>219</v>
      </c>
      <c r="B224" s="85" t="s">
        <v>562</v>
      </c>
      <c r="C224" s="85" t="s">
        <v>408</v>
      </c>
      <c r="D224" s="83" t="s">
        <v>784</v>
      </c>
      <c r="E224" s="79"/>
      <c r="F224" s="85" t="s">
        <v>1502</v>
      </c>
      <c r="G224" s="78"/>
      <c r="H224" s="78"/>
      <c r="I224" s="78"/>
      <c r="J224" s="78"/>
      <c r="K224" s="78"/>
      <c r="L224" s="78"/>
      <c r="M224" s="78"/>
      <c r="N224" s="78"/>
      <c r="O224" s="84" t="s">
        <v>1297</v>
      </c>
      <c r="P224" s="78"/>
      <c r="Q224" s="78"/>
    </row>
    <row r="225" spans="1:17" ht="15" x14ac:dyDescent="0.25">
      <c r="A225" s="78">
        <v>220</v>
      </c>
      <c r="B225" s="85" t="s">
        <v>562</v>
      </c>
      <c r="C225" s="85" t="s">
        <v>408</v>
      </c>
      <c r="D225" s="83" t="s">
        <v>785</v>
      </c>
      <c r="E225" s="79"/>
      <c r="F225" s="85" t="s">
        <v>1502</v>
      </c>
      <c r="G225" s="78"/>
      <c r="H225" s="78"/>
      <c r="I225" s="78"/>
      <c r="J225" s="78"/>
      <c r="K225" s="78"/>
      <c r="L225" s="78"/>
      <c r="M225" s="78"/>
      <c r="N225" s="78"/>
      <c r="O225" s="84"/>
      <c r="P225" s="78"/>
      <c r="Q225" s="78"/>
    </row>
    <row r="226" spans="1:17" ht="15" x14ac:dyDescent="0.25">
      <c r="A226" s="78">
        <v>221</v>
      </c>
      <c r="B226" s="85" t="s">
        <v>562</v>
      </c>
      <c r="C226" s="85" t="s">
        <v>408</v>
      </c>
      <c r="D226" s="83" t="s">
        <v>786</v>
      </c>
      <c r="E226" s="79"/>
      <c r="F226" s="85" t="s">
        <v>1502</v>
      </c>
      <c r="G226" s="78"/>
      <c r="H226" s="78"/>
      <c r="I226" s="78"/>
      <c r="J226" s="78"/>
      <c r="K226" s="78"/>
      <c r="L226" s="78"/>
      <c r="M226" s="78"/>
      <c r="N226" s="78"/>
      <c r="O226" s="84" t="s">
        <v>1298</v>
      </c>
      <c r="P226" s="78"/>
      <c r="Q226" s="78"/>
    </row>
    <row r="227" spans="1:17" ht="15" x14ac:dyDescent="0.25">
      <c r="A227" s="78">
        <v>222</v>
      </c>
      <c r="B227" s="85" t="s">
        <v>562</v>
      </c>
      <c r="C227" s="85" t="s">
        <v>408</v>
      </c>
      <c r="D227" s="83" t="s">
        <v>787</v>
      </c>
      <c r="E227" s="79"/>
      <c r="F227" s="85" t="s">
        <v>1502</v>
      </c>
      <c r="G227" s="78"/>
      <c r="H227" s="78"/>
      <c r="I227" s="78"/>
      <c r="J227" s="78"/>
      <c r="K227" s="78"/>
      <c r="L227" s="78"/>
      <c r="M227" s="78"/>
      <c r="N227" s="78"/>
      <c r="O227" s="84" t="s">
        <v>1299</v>
      </c>
      <c r="P227" s="78"/>
      <c r="Q227" s="78"/>
    </row>
    <row r="228" spans="1:17" ht="15" x14ac:dyDescent="0.25">
      <c r="A228" s="78">
        <v>223</v>
      </c>
      <c r="B228" s="85" t="s">
        <v>562</v>
      </c>
      <c r="C228" s="85" t="s">
        <v>408</v>
      </c>
      <c r="D228" s="83" t="s">
        <v>788</v>
      </c>
      <c r="E228" s="79"/>
      <c r="F228" s="85" t="s">
        <v>1502</v>
      </c>
      <c r="G228" s="78"/>
      <c r="H228" s="78"/>
      <c r="I228" s="78"/>
      <c r="J228" s="78"/>
      <c r="K228" s="78"/>
      <c r="L228" s="78"/>
      <c r="M228" s="78"/>
      <c r="N228" s="78"/>
      <c r="O228" s="89" t="s">
        <v>945</v>
      </c>
      <c r="P228" s="78"/>
      <c r="Q228" s="78"/>
    </row>
    <row r="229" spans="1:17" ht="15" x14ac:dyDescent="0.25">
      <c r="A229" s="78">
        <v>224</v>
      </c>
      <c r="B229" s="85" t="s">
        <v>562</v>
      </c>
      <c r="C229" s="85" t="s">
        <v>408</v>
      </c>
      <c r="D229" s="83" t="s">
        <v>789</v>
      </c>
      <c r="E229" s="79"/>
      <c r="F229" s="85" t="s">
        <v>1502</v>
      </c>
      <c r="G229" s="78"/>
      <c r="H229" s="78"/>
      <c r="I229" s="78"/>
      <c r="J229" s="78"/>
      <c r="K229" s="78"/>
      <c r="L229" s="78"/>
      <c r="M229" s="78"/>
      <c r="N229" s="78"/>
      <c r="O229" s="84"/>
      <c r="P229" s="78"/>
      <c r="Q229" s="78"/>
    </row>
    <row r="230" spans="1:17" ht="15" x14ac:dyDescent="0.25">
      <c r="A230" s="78">
        <v>225</v>
      </c>
      <c r="B230" s="85" t="s">
        <v>562</v>
      </c>
      <c r="C230" s="85" t="s">
        <v>408</v>
      </c>
      <c r="D230" s="83" t="s">
        <v>790</v>
      </c>
      <c r="E230" s="79"/>
      <c r="F230" s="85" t="s">
        <v>1502</v>
      </c>
      <c r="G230" s="78"/>
      <c r="H230" s="78"/>
      <c r="I230" s="78"/>
      <c r="J230" s="78"/>
      <c r="K230" s="78"/>
      <c r="L230" s="78"/>
      <c r="M230" s="78"/>
      <c r="N230" s="78"/>
      <c r="O230" s="84" t="s">
        <v>1300</v>
      </c>
      <c r="P230" s="78"/>
      <c r="Q230" s="78"/>
    </row>
    <row r="231" spans="1:17" ht="18" customHeight="1" x14ac:dyDescent="0.25">
      <c r="A231" s="78">
        <v>226</v>
      </c>
      <c r="B231" s="85" t="s">
        <v>562</v>
      </c>
      <c r="C231" s="85" t="s">
        <v>408</v>
      </c>
      <c r="D231" s="83" t="s">
        <v>791</v>
      </c>
      <c r="E231" s="79"/>
      <c r="F231" s="85" t="s">
        <v>1502</v>
      </c>
      <c r="G231" s="78"/>
      <c r="H231" s="78"/>
      <c r="I231" s="78"/>
      <c r="J231" s="78"/>
      <c r="K231" s="78"/>
      <c r="L231" s="78"/>
      <c r="M231" s="78"/>
      <c r="N231" s="78"/>
      <c r="O231" s="87" t="s">
        <v>1301</v>
      </c>
      <c r="P231" s="78"/>
      <c r="Q231" s="78"/>
    </row>
    <row r="232" spans="1:17" ht="15" x14ac:dyDescent="0.25">
      <c r="A232" s="78">
        <v>227</v>
      </c>
      <c r="B232" s="85" t="s">
        <v>562</v>
      </c>
      <c r="C232" s="85" t="s">
        <v>408</v>
      </c>
      <c r="D232" s="83" t="s">
        <v>792</v>
      </c>
      <c r="E232" s="79"/>
      <c r="F232" s="85" t="s">
        <v>1502</v>
      </c>
      <c r="G232" s="78"/>
      <c r="H232" s="78"/>
      <c r="I232" s="78"/>
      <c r="J232" s="78"/>
      <c r="K232" s="78"/>
      <c r="L232" s="78"/>
      <c r="M232" s="78"/>
      <c r="N232" s="78"/>
      <c r="O232" s="87"/>
      <c r="P232" s="78"/>
      <c r="Q232" s="78"/>
    </row>
    <row r="233" spans="1:17" ht="15" x14ac:dyDescent="0.25">
      <c r="A233" s="78">
        <v>228</v>
      </c>
      <c r="B233" s="85" t="s">
        <v>562</v>
      </c>
      <c r="C233" s="85" t="s">
        <v>408</v>
      </c>
      <c r="D233" s="83" t="s">
        <v>793</v>
      </c>
      <c r="E233" s="79"/>
      <c r="F233" s="85" t="s">
        <v>1502</v>
      </c>
      <c r="G233" s="78"/>
      <c r="H233" s="78"/>
      <c r="I233" s="78"/>
      <c r="J233" s="78"/>
      <c r="K233" s="78"/>
      <c r="L233" s="78"/>
      <c r="M233" s="78"/>
      <c r="N233" s="78"/>
      <c r="O233" s="87"/>
      <c r="P233" s="78"/>
      <c r="Q233" s="78"/>
    </row>
    <row r="234" spans="1:17" ht="15" x14ac:dyDescent="0.25">
      <c r="A234" s="78">
        <v>229</v>
      </c>
      <c r="B234" s="85" t="s">
        <v>562</v>
      </c>
      <c r="C234" s="85" t="s">
        <v>408</v>
      </c>
      <c r="D234" s="83" t="s">
        <v>794</v>
      </c>
      <c r="E234" s="79"/>
      <c r="F234" s="85" t="s">
        <v>1502</v>
      </c>
      <c r="G234" s="78"/>
      <c r="H234" s="78"/>
      <c r="I234" s="78"/>
      <c r="J234" s="78"/>
      <c r="K234" s="78"/>
      <c r="L234" s="78"/>
      <c r="M234" s="78"/>
      <c r="N234" s="78"/>
      <c r="O234" s="84" t="s">
        <v>1302</v>
      </c>
      <c r="P234" s="78"/>
      <c r="Q234" s="78"/>
    </row>
    <row r="235" spans="1:17" ht="15" x14ac:dyDescent="0.25">
      <c r="A235" s="78">
        <v>230</v>
      </c>
      <c r="B235" s="85" t="s">
        <v>562</v>
      </c>
      <c r="C235" s="85" t="s">
        <v>405</v>
      </c>
      <c r="D235" s="83" t="s">
        <v>795</v>
      </c>
      <c r="E235" s="79"/>
      <c r="F235" s="83" t="s">
        <v>323</v>
      </c>
      <c r="G235" s="78"/>
      <c r="H235" s="78"/>
      <c r="I235" s="78"/>
      <c r="J235" s="78"/>
      <c r="K235" s="78"/>
      <c r="L235" s="78"/>
      <c r="M235" s="78"/>
      <c r="N235" s="78"/>
      <c r="O235" s="84" t="s">
        <v>1303</v>
      </c>
      <c r="P235" s="78"/>
      <c r="Q235" s="78"/>
    </row>
    <row r="236" spans="1:17" ht="15" x14ac:dyDescent="0.25">
      <c r="A236" s="78">
        <v>231</v>
      </c>
      <c r="B236" s="85" t="s">
        <v>562</v>
      </c>
      <c r="C236" s="85" t="s">
        <v>405</v>
      </c>
      <c r="D236" s="83" t="s">
        <v>796</v>
      </c>
      <c r="E236" s="79"/>
      <c r="F236" s="83" t="s">
        <v>918</v>
      </c>
      <c r="G236" s="78"/>
      <c r="H236" s="78"/>
      <c r="I236" s="78"/>
      <c r="J236" s="78"/>
      <c r="K236" s="78"/>
      <c r="L236" s="78"/>
      <c r="M236" s="78"/>
      <c r="N236" s="78"/>
      <c r="O236" s="84" t="s">
        <v>1304</v>
      </c>
      <c r="P236" s="78"/>
      <c r="Q236" s="78"/>
    </row>
    <row r="237" spans="1:17" ht="15" x14ac:dyDescent="0.25">
      <c r="A237" s="78">
        <v>232</v>
      </c>
      <c r="B237" s="85" t="s">
        <v>562</v>
      </c>
      <c r="C237" s="85" t="s">
        <v>405</v>
      </c>
      <c r="D237" s="83" t="s">
        <v>797</v>
      </c>
      <c r="E237" s="79"/>
      <c r="F237" s="84" t="s">
        <v>1502</v>
      </c>
      <c r="G237" s="78"/>
      <c r="H237" s="78"/>
      <c r="I237" s="78"/>
      <c r="J237" s="78"/>
      <c r="K237" s="78"/>
      <c r="L237" s="78"/>
      <c r="M237" s="78"/>
      <c r="N237" s="78"/>
      <c r="O237" s="84" t="s">
        <v>1305</v>
      </c>
      <c r="P237" s="78"/>
      <c r="Q237" s="78"/>
    </row>
    <row r="238" spans="1:17" ht="15" x14ac:dyDescent="0.25">
      <c r="A238" s="78">
        <v>233</v>
      </c>
      <c r="B238" s="85" t="s">
        <v>562</v>
      </c>
      <c r="C238" s="85" t="s">
        <v>405</v>
      </c>
      <c r="D238" s="83" t="s">
        <v>798</v>
      </c>
      <c r="E238" s="79"/>
      <c r="F238" s="84" t="s">
        <v>1502</v>
      </c>
      <c r="G238" s="78"/>
      <c r="H238" s="78"/>
      <c r="I238" s="78"/>
      <c r="J238" s="78"/>
      <c r="K238" s="78"/>
      <c r="L238" s="78"/>
      <c r="M238" s="78"/>
      <c r="N238" s="78"/>
      <c r="O238" s="84" t="s">
        <v>1306</v>
      </c>
      <c r="P238" s="78"/>
      <c r="Q238" s="78"/>
    </row>
    <row r="239" spans="1:17" ht="15" x14ac:dyDescent="0.25">
      <c r="A239" s="78">
        <v>234</v>
      </c>
      <c r="B239" s="85" t="s">
        <v>562</v>
      </c>
      <c r="C239" s="85" t="s">
        <v>405</v>
      </c>
      <c r="D239" s="83" t="s">
        <v>799</v>
      </c>
      <c r="E239" s="79"/>
      <c r="F239" s="84" t="s">
        <v>1502</v>
      </c>
      <c r="G239" s="78"/>
      <c r="H239" s="78"/>
      <c r="I239" s="78"/>
      <c r="J239" s="78"/>
      <c r="K239" s="78"/>
      <c r="L239" s="78"/>
      <c r="M239" s="78"/>
      <c r="N239" s="78"/>
      <c r="O239" s="84" t="s">
        <v>1307</v>
      </c>
      <c r="P239" s="78"/>
      <c r="Q239" s="78"/>
    </row>
    <row r="240" spans="1:17" ht="15" x14ac:dyDescent="0.25">
      <c r="A240" s="78">
        <v>235</v>
      </c>
      <c r="B240" s="85" t="s">
        <v>562</v>
      </c>
      <c r="C240" s="85" t="s">
        <v>405</v>
      </c>
      <c r="D240" s="83" t="s">
        <v>800</v>
      </c>
      <c r="E240" s="79"/>
      <c r="F240" s="84" t="s">
        <v>1502</v>
      </c>
      <c r="G240" s="78"/>
      <c r="H240" s="78"/>
      <c r="I240" s="78"/>
      <c r="J240" s="78"/>
      <c r="K240" s="78"/>
      <c r="L240" s="78"/>
      <c r="M240" s="78"/>
      <c r="N240" s="78"/>
      <c r="O240" s="84" t="s">
        <v>1308</v>
      </c>
      <c r="P240" s="78"/>
      <c r="Q240" s="78"/>
    </row>
    <row r="241" spans="1:17" ht="15" x14ac:dyDescent="0.25">
      <c r="A241" s="78">
        <v>236</v>
      </c>
      <c r="B241" s="85" t="s">
        <v>562</v>
      </c>
      <c r="C241" s="85" t="s">
        <v>405</v>
      </c>
      <c r="D241" s="83" t="s">
        <v>801</v>
      </c>
      <c r="E241" s="79"/>
      <c r="F241" s="84" t="s">
        <v>1502</v>
      </c>
      <c r="G241" s="78"/>
      <c r="H241" s="78"/>
      <c r="I241" s="78"/>
      <c r="J241" s="78"/>
      <c r="K241" s="78"/>
      <c r="L241" s="78"/>
      <c r="M241" s="78"/>
      <c r="N241" s="78"/>
      <c r="O241" s="84" t="s">
        <v>1309</v>
      </c>
      <c r="P241" s="78"/>
      <c r="Q241" s="78"/>
    </row>
    <row r="242" spans="1:17" ht="15" x14ac:dyDescent="0.25">
      <c r="A242" s="78">
        <v>237</v>
      </c>
      <c r="B242" s="85" t="s">
        <v>562</v>
      </c>
      <c r="C242" s="85" t="s">
        <v>405</v>
      </c>
      <c r="D242" s="83" t="s">
        <v>802</v>
      </c>
      <c r="E242" s="79"/>
      <c r="F242" s="84" t="s">
        <v>1502</v>
      </c>
      <c r="G242" s="78"/>
      <c r="H242" s="78"/>
      <c r="I242" s="78"/>
      <c r="J242" s="78"/>
      <c r="K242" s="78"/>
      <c r="L242" s="78"/>
      <c r="M242" s="78"/>
      <c r="N242" s="78"/>
      <c r="O242" s="89" t="s">
        <v>946</v>
      </c>
      <c r="P242" s="78"/>
      <c r="Q242" s="78"/>
    </row>
    <row r="243" spans="1:17" ht="15" x14ac:dyDescent="0.25">
      <c r="A243" s="78">
        <v>238</v>
      </c>
      <c r="B243" s="85" t="s">
        <v>562</v>
      </c>
      <c r="C243" s="85" t="s">
        <v>405</v>
      </c>
      <c r="D243" s="83" t="s">
        <v>803</v>
      </c>
      <c r="E243" s="79"/>
      <c r="F243" s="84" t="s">
        <v>1502</v>
      </c>
      <c r="G243" s="78"/>
      <c r="H243" s="78"/>
      <c r="I243" s="78"/>
      <c r="J243" s="78"/>
      <c r="K243" s="78"/>
      <c r="L243" s="78"/>
      <c r="M243" s="78"/>
      <c r="N243" s="78"/>
      <c r="O243" s="84" t="s">
        <v>1310</v>
      </c>
      <c r="P243" s="78"/>
      <c r="Q243" s="78"/>
    </row>
    <row r="244" spans="1:17" ht="15" x14ac:dyDescent="0.25">
      <c r="A244" s="78">
        <v>239</v>
      </c>
      <c r="B244" s="85" t="s">
        <v>563</v>
      </c>
      <c r="C244" s="85" t="s">
        <v>563</v>
      </c>
      <c r="D244" s="84" t="s">
        <v>1014</v>
      </c>
      <c r="E244" s="79"/>
      <c r="F244" s="83" t="s">
        <v>919</v>
      </c>
      <c r="G244" s="78"/>
      <c r="H244" s="78"/>
      <c r="I244" s="78"/>
      <c r="J244" s="78"/>
      <c r="K244" s="78"/>
      <c r="L244" s="78"/>
      <c r="M244" s="78"/>
      <c r="N244" s="78"/>
      <c r="O244" s="84" t="s">
        <v>1311</v>
      </c>
      <c r="P244" s="78"/>
      <c r="Q244" s="78"/>
    </row>
    <row r="245" spans="1:17" ht="15" x14ac:dyDescent="0.25">
      <c r="A245" s="78">
        <v>240</v>
      </c>
      <c r="B245" s="85" t="s">
        <v>563</v>
      </c>
      <c r="C245" s="85" t="s">
        <v>563</v>
      </c>
      <c r="D245" s="84" t="s">
        <v>1015</v>
      </c>
      <c r="E245" s="79"/>
      <c r="F245" s="83" t="s">
        <v>920</v>
      </c>
      <c r="G245" s="78"/>
      <c r="H245" s="78"/>
      <c r="I245" s="78"/>
      <c r="J245" s="78"/>
      <c r="K245" s="78"/>
      <c r="L245" s="78"/>
      <c r="M245" s="78"/>
      <c r="N245" s="78"/>
      <c r="O245" s="84" t="s">
        <v>1312</v>
      </c>
      <c r="P245" s="78"/>
      <c r="Q245" s="78"/>
    </row>
    <row r="246" spans="1:17" ht="15" x14ac:dyDescent="0.25">
      <c r="A246" s="78">
        <v>241</v>
      </c>
      <c r="B246" s="85" t="s">
        <v>563</v>
      </c>
      <c r="C246" s="85" t="s">
        <v>563</v>
      </c>
      <c r="D246" s="84" t="s">
        <v>1016</v>
      </c>
      <c r="E246" s="79"/>
      <c r="F246" s="83" t="s">
        <v>920</v>
      </c>
      <c r="G246" s="78"/>
      <c r="H246" s="78"/>
      <c r="I246" s="78"/>
      <c r="J246" s="78"/>
      <c r="K246" s="78"/>
      <c r="L246" s="78"/>
      <c r="M246" s="78"/>
      <c r="N246" s="78"/>
      <c r="O246" s="84" t="s">
        <v>1313</v>
      </c>
      <c r="P246" s="78"/>
      <c r="Q246" s="78"/>
    </row>
    <row r="247" spans="1:17" ht="15" x14ac:dyDescent="0.25">
      <c r="A247" s="78">
        <v>242</v>
      </c>
      <c r="B247" s="85" t="s">
        <v>563</v>
      </c>
      <c r="C247" s="85" t="s">
        <v>563</v>
      </c>
      <c r="D247" s="84" t="s">
        <v>1017</v>
      </c>
      <c r="E247" s="79"/>
      <c r="F247" s="84"/>
      <c r="G247" s="78"/>
      <c r="H247" s="78"/>
      <c r="I247" s="78"/>
      <c r="J247" s="78"/>
      <c r="K247" s="78"/>
      <c r="L247" s="78"/>
      <c r="M247" s="78"/>
      <c r="N247" s="78"/>
      <c r="O247" s="84" t="s">
        <v>1314</v>
      </c>
      <c r="P247" s="78"/>
      <c r="Q247" s="78"/>
    </row>
    <row r="248" spans="1:17" ht="15" x14ac:dyDescent="0.25">
      <c r="A248" s="78">
        <v>243</v>
      </c>
      <c r="B248" s="85" t="s">
        <v>563</v>
      </c>
      <c r="C248" s="85" t="s">
        <v>563</v>
      </c>
      <c r="D248" s="83" t="s">
        <v>1018</v>
      </c>
      <c r="E248" s="79"/>
      <c r="F248" s="84"/>
      <c r="G248" s="78"/>
      <c r="H248" s="78"/>
      <c r="I248" s="78"/>
      <c r="J248" s="78"/>
      <c r="K248" s="78"/>
      <c r="L248" s="78"/>
      <c r="M248" s="78"/>
      <c r="N248" s="78"/>
      <c r="O248" s="84" t="s">
        <v>1315</v>
      </c>
      <c r="P248" s="78"/>
      <c r="Q248" s="78"/>
    </row>
    <row r="249" spans="1:17" s="15" customFormat="1" ht="15" x14ac:dyDescent="0.25">
      <c r="A249" s="102">
        <v>243</v>
      </c>
      <c r="B249" s="103" t="s">
        <v>563</v>
      </c>
      <c r="C249" s="103" t="s">
        <v>563</v>
      </c>
      <c r="D249" s="107" t="s">
        <v>1540</v>
      </c>
      <c r="E249" s="105"/>
      <c r="F249" s="104"/>
      <c r="G249" s="102"/>
      <c r="H249" s="102"/>
      <c r="I249" s="102"/>
      <c r="J249" s="102"/>
      <c r="K249" s="102"/>
      <c r="L249" s="102"/>
      <c r="M249" s="102"/>
      <c r="N249" s="102"/>
      <c r="O249" s="104"/>
      <c r="P249" s="102"/>
      <c r="Q249" s="102"/>
    </row>
    <row r="250" spans="1:17" s="15" customFormat="1" ht="15" x14ac:dyDescent="0.25">
      <c r="A250" s="102">
        <v>243</v>
      </c>
      <c r="B250" s="103" t="s">
        <v>563</v>
      </c>
      <c r="C250" s="103" t="s">
        <v>563</v>
      </c>
      <c r="D250" s="107" t="s">
        <v>813</v>
      </c>
      <c r="E250" s="105"/>
      <c r="F250" s="104"/>
      <c r="G250" s="102"/>
      <c r="H250" s="102"/>
      <c r="I250" s="102"/>
      <c r="J250" s="102"/>
      <c r="K250" s="102"/>
      <c r="L250" s="102"/>
      <c r="M250" s="102"/>
      <c r="N250" s="102"/>
      <c r="O250" s="104"/>
      <c r="P250" s="102"/>
      <c r="Q250" s="102"/>
    </row>
    <row r="251" spans="1:17" ht="15" x14ac:dyDescent="0.25">
      <c r="A251" s="78">
        <v>244</v>
      </c>
      <c r="B251" s="85" t="s">
        <v>563</v>
      </c>
      <c r="C251" s="85" t="s">
        <v>586</v>
      </c>
      <c r="D251" s="84" t="s">
        <v>1019</v>
      </c>
      <c r="E251" s="79"/>
      <c r="F251" s="83" t="s">
        <v>323</v>
      </c>
      <c r="G251" s="78"/>
      <c r="H251" s="78"/>
      <c r="I251" s="78"/>
      <c r="J251" s="78"/>
      <c r="K251" s="78"/>
      <c r="L251" s="78"/>
      <c r="M251" s="78"/>
      <c r="N251" s="78"/>
      <c r="O251" s="84" t="s">
        <v>1316</v>
      </c>
      <c r="P251" s="78"/>
      <c r="Q251" s="78"/>
    </row>
    <row r="252" spans="1:17" ht="15" x14ac:dyDescent="0.25">
      <c r="A252" s="78">
        <v>245</v>
      </c>
      <c r="B252" s="85" t="s">
        <v>563</v>
      </c>
      <c r="C252" s="85" t="s">
        <v>586</v>
      </c>
      <c r="D252" s="84" t="s">
        <v>1020</v>
      </c>
      <c r="E252" s="79"/>
      <c r="F252" s="83" t="s">
        <v>918</v>
      </c>
      <c r="G252" s="78"/>
      <c r="H252" s="78"/>
      <c r="I252" s="78"/>
      <c r="J252" s="78"/>
      <c r="K252" s="78"/>
      <c r="L252" s="78"/>
      <c r="M252" s="78"/>
      <c r="N252" s="78"/>
      <c r="O252" s="89" t="s">
        <v>947</v>
      </c>
      <c r="P252" s="78"/>
      <c r="Q252" s="78"/>
    </row>
    <row r="253" spans="1:17" ht="15" x14ac:dyDescent="0.25">
      <c r="A253" s="78">
        <v>246</v>
      </c>
      <c r="B253" s="85" t="s">
        <v>563</v>
      </c>
      <c r="C253" s="85" t="s">
        <v>586</v>
      </c>
      <c r="D253" s="84" t="s">
        <v>1021</v>
      </c>
      <c r="E253" s="79"/>
      <c r="F253" s="84" t="s">
        <v>1502</v>
      </c>
      <c r="G253" s="78"/>
      <c r="H253" s="78"/>
      <c r="I253" s="78"/>
      <c r="J253" s="78"/>
      <c r="K253" s="78"/>
      <c r="L253" s="78"/>
      <c r="M253" s="78"/>
      <c r="N253" s="78"/>
      <c r="O253" s="84" t="s">
        <v>1317</v>
      </c>
      <c r="P253" s="78"/>
      <c r="Q253" s="78"/>
    </row>
    <row r="254" spans="1:17" ht="15" x14ac:dyDescent="0.25">
      <c r="A254" s="78">
        <v>247</v>
      </c>
      <c r="B254" s="85" t="s">
        <v>563</v>
      </c>
      <c r="C254" s="85" t="s">
        <v>586</v>
      </c>
      <c r="D254" s="84" t="s">
        <v>1022</v>
      </c>
      <c r="E254" s="79"/>
      <c r="F254" s="84" t="s">
        <v>1502</v>
      </c>
      <c r="G254" s="78"/>
      <c r="H254" s="78"/>
      <c r="I254" s="78"/>
      <c r="J254" s="78"/>
      <c r="K254" s="78"/>
      <c r="L254" s="78"/>
      <c r="M254" s="78"/>
      <c r="N254" s="78"/>
      <c r="O254" s="89" t="s">
        <v>948</v>
      </c>
      <c r="P254" s="78"/>
      <c r="Q254" s="78"/>
    </row>
    <row r="255" spans="1:17" ht="15" x14ac:dyDescent="0.25">
      <c r="A255" s="78">
        <v>248</v>
      </c>
      <c r="B255" s="85" t="s">
        <v>563</v>
      </c>
      <c r="C255" s="85" t="s">
        <v>586</v>
      </c>
      <c r="D255" s="84" t="s">
        <v>1023</v>
      </c>
      <c r="E255" s="79"/>
      <c r="F255" s="84" t="s">
        <v>1502</v>
      </c>
      <c r="G255" s="78"/>
      <c r="H255" s="78"/>
      <c r="I255" s="78"/>
      <c r="J255" s="78"/>
      <c r="K255" s="78"/>
      <c r="L255" s="78"/>
      <c r="M255" s="78"/>
      <c r="N255" s="78"/>
      <c r="O255" s="84" t="s">
        <v>1318</v>
      </c>
      <c r="P255" s="78"/>
      <c r="Q255" s="78"/>
    </row>
    <row r="256" spans="1:17" ht="15" x14ac:dyDescent="0.25">
      <c r="A256" s="78">
        <v>249</v>
      </c>
      <c r="B256" s="85" t="s">
        <v>563</v>
      </c>
      <c r="C256" s="85" t="s">
        <v>586</v>
      </c>
      <c r="D256" s="84" t="s">
        <v>1024</v>
      </c>
      <c r="E256" s="79"/>
      <c r="F256" s="84" t="s">
        <v>1502</v>
      </c>
      <c r="G256" s="78"/>
      <c r="H256" s="78"/>
      <c r="I256" s="78"/>
      <c r="J256" s="78"/>
      <c r="K256" s="78"/>
      <c r="L256" s="78"/>
      <c r="M256" s="78"/>
      <c r="N256" s="78"/>
      <c r="O256" s="84" t="s">
        <v>1319</v>
      </c>
      <c r="P256" s="78"/>
      <c r="Q256" s="78"/>
    </row>
    <row r="257" spans="1:17" ht="15" x14ac:dyDescent="0.25">
      <c r="A257" s="78">
        <v>250</v>
      </c>
      <c r="B257" s="85" t="s">
        <v>563</v>
      </c>
      <c r="C257" s="85" t="s">
        <v>587</v>
      </c>
      <c r="D257" s="84" t="s">
        <v>804</v>
      </c>
      <c r="E257" s="79"/>
      <c r="F257" s="83" t="s">
        <v>922</v>
      </c>
      <c r="G257" s="78"/>
      <c r="H257" s="78"/>
      <c r="I257" s="78"/>
      <c r="J257" s="78"/>
      <c r="K257" s="78"/>
      <c r="L257" s="78"/>
      <c r="M257" s="78"/>
      <c r="N257" s="78"/>
      <c r="O257" s="89" t="s">
        <v>949</v>
      </c>
      <c r="P257" s="78"/>
      <c r="Q257" s="78"/>
    </row>
    <row r="258" spans="1:17" ht="15" x14ac:dyDescent="0.25">
      <c r="A258" s="78">
        <v>251</v>
      </c>
      <c r="B258" s="85" t="s">
        <v>563</v>
      </c>
      <c r="C258" s="85" t="s">
        <v>587</v>
      </c>
      <c r="D258" s="84" t="s">
        <v>1025</v>
      </c>
      <c r="E258" s="79"/>
      <c r="F258" s="83" t="s">
        <v>918</v>
      </c>
      <c r="G258" s="78"/>
      <c r="H258" s="78"/>
      <c r="I258" s="78"/>
      <c r="J258" s="78"/>
      <c r="K258" s="78"/>
      <c r="L258" s="78"/>
      <c r="M258" s="78"/>
      <c r="N258" s="78"/>
      <c r="O258" s="89" t="s">
        <v>950</v>
      </c>
      <c r="P258" s="78"/>
      <c r="Q258" s="78"/>
    </row>
    <row r="259" spans="1:17" ht="15" x14ac:dyDescent="0.25">
      <c r="A259" s="78">
        <v>252</v>
      </c>
      <c r="B259" s="85" t="s">
        <v>563</v>
      </c>
      <c r="C259" s="85" t="s">
        <v>587</v>
      </c>
      <c r="D259" s="84" t="s">
        <v>1026</v>
      </c>
      <c r="E259" s="79"/>
      <c r="F259" s="84" t="s">
        <v>1502</v>
      </c>
      <c r="G259" s="78"/>
      <c r="H259" s="78"/>
      <c r="I259" s="78"/>
      <c r="J259" s="78"/>
      <c r="K259" s="78"/>
      <c r="L259" s="78"/>
      <c r="M259" s="78"/>
      <c r="N259" s="78"/>
      <c r="O259" s="84" t="s">
        <v>1320</v>
      </c>
      <c r="P259" s="78"/>
      <c r="Q259" s="78"/>
    </row>
    <row r="260" spans="1:17" ht="15" x14ac:dyDescent="0.25">
      <c r="A260" s="78">
        <v>253</v>
      </c>
      <c r="B260" s="85" t="s">
        <v>563</v>
      </c>
      <c r="C260" s="85" t="s">
        <v>587</v>
      </c>
      <c r="D260" s="84" t="s">
        <v>1027</v>
      </c>
      <c r="E260" s="79"/>
      <c r="F260" s="84" t="s">
        <v>1502</v>
      </c>
      <c r="G260" s="78"/>
      <c r="H260" s="78"/>
      <c r="I260" s="78"/>
      <c r="J260" s="78"/>
      <c r="K260" s="78"/>
      <c r="L260" s="78"/>
      <c r="M260" s="78"/>
      <c r="N260" s="78"/>
      <c r="O260" s="89" t="s">
        <v>951</v>
      </c>
      <c r="P260" s="78"/>
      <c r="Q260" s="78"/>
    </row>
    <row r="261" spans="1:17" ht="15" x14ac:dyDescent="0.25">
      <c r="A261" s="78">
        <v>254</v>
      </c>
      <c r="B261" s="85" t="s">
        <v>563</v>
      </c>
      <c r="C261" s="85" t="s">
        <v>587</v>
      </c>
      <c r="D261" s="84" t="s">
        <v>1028</v>
      </c>
      <c r="E261" s="79"/>
      <c r="F261" s="84" t="s">
        <v>1502</v>
      </c>
      <c r="G261" s="78"/>
      <c r="H261" s="78"/>
      <c r="I261" s="78"/>
      <c r="J261" s="78"/>
      <c r="K261" s="78"/>
      <c r="L261" s="78"/>
      <c r="M261" s="78"/>
      <c r="N261" s="78"/>
      <c r="O261" s="84" t="s">
        <v>1321</v>
      </c>
      <c r="P261" s="78"/>
      <c r="Q261" s="78"/>
    </row>
    <row r="262" spans="1:17" ht="15" x14ac:dyDescent="0.25">
      <c r="A262" s="78">
        <v>255</v>
      </c>
      <c r="B262" s="85" t="s">
        <v>563</v>
      </c>
      <c r="C262" s="85" t="s">
        <v>587</v>
      </c>
      <c r="D262" s="84" t="s">
        <v>1029</v>
      </c>
      <c r="E262" s="79"/>
      <c r="F262" s="84" t="s">
        <v>1502</v>
      </c>
      <c r="G262" s="78"/>
      <c r="H262" s="78"/>
      <c r="I262" s="78"/>
      <c r="J262" s="78"/>
      <c r="K262" s="78"/>
      <c r="L262" s="78"/>
      <c r="M262" s="78"/>
      <c r="N262" s="78"/>
      <c r="O262" s="99" t="s">
        <v>952</v>
      </c>
      <c r="P262" s="78"/>
      <c r="Q262" s="78"/>
    </row>
    <row r="263" spans="1:17" ht="15" x14ac:dyDescent="0.25">
      <c r="A263" s="78">
        <v>256</v>
      </c>
      <c r="B263" s="85" t="s">
        <v>563</v>
      </c>
      <c r="C263" s="85" t="s">
        <v>587</v>
      </c>
      <c r="D263" s="84" t="s">
        <v>1022</v>
      </c>
      <c r="E263" s="79"/>
      <c r="F263" s="84" t="s">
        <v>1502</v>
      </c>
      <c r="G263" s="78"/>
      <c r="H263" s="78"/>
      <c r="I263" s="78"/>
      <c r="J263" s="78"/>
      <c r="K263" s="78"/>
      <c r="L263" s="78"/>
      <c r="M263" s="78"/>
      <c r="N263" s="78"/>
      <c r="O263" s="89" t="s">
        <v>953</v>
      </c>
      <c r="P263" s="78"/>
      <c r="Q263" s="78"/>
    </row>
    <row r="264" spans="1:17" ht="15" x14ac:dyDescent="0.25">
      <c r="A264" s="78">
        <v>257</v>
      </c>
      <c r="B264" s="85" t="s">
        <v>563</v>
      </c>
      <c r="C264" s="85" t="s">
        <v>587</v>
      </c>
      <c r="D264" s="84" t="s">
        <v>1030</v>
      </c>
      <c r="E264" s="79"/>
      <c r="F264" s="84" t="s">
        <v>1502</v>
      </c>
      <c r="G264" s="78"/>
      <c r="H264" s="78"/>
      <c r="I264" s="78"/>
      <c r="J264" s="78"/>
      <c r="K264" s="78"/>
      <c r="L264" s="78"/>
      <c r="M264" s="78"/>
      <c r="N264" s="78"/>
      <c r="O264" s="84" t="s">
        <v>1322</v>
      </c>
      <c r="P264" s="78"/>
      <c r="Q264" s="78"/>
    </row>
    <row r="265" spans="1:17" ht="15" x14ac:dyDescent="0.25">
      <c r="A265" s="78">
        <v>258</v>
      </c>
      <c r="B265" s="85" t="s">
        <v>563</v>
      </c>
      <c r="C265" s="85" t="s">
        <v>587</v>
      </c>
      <c r="D265" s="84" t="s">
        <v>1031</v>
      </c>
      <c r="E265" s="79"/>
      <c r="F265" s="84" t="s">
        <v>1502</v>
      </c>
      <c r="G265" s="78"/>
      <c r="H265" s="78"/>
      <c r="I265" s="78"/>
      <c r="J265" s="78"/>
      <c r="K265" s="78"/>
      <c r="L265" s="78"/>
      <c r="M265" s="78"/>
      <c r="N265" s="78"/>
      <c r="O265" s="84" t="s">
        <v>1323</v>
      </c>
      <c r="P265" s="78"/>
      <c r="Q265" s="78"/>
    </row>
    <row r="266" spans="1:17" ht="15" x14ac:dyDescent="0.25">
      <c r="A266" s="78">
        <v>259</v>
      </c>
      <c r="B266" s="85" t="s">
        <v>563</v>
      </c>
      <c r="C266" s="84" t="s">
        <v>1103</v>
      </c>
      <c r="D266" s="84" t="s">
        <v>1032</v>
      </c>
      <c r="E266" s="79"/>
      <c r="F266" s="83" t="s">
        <v>323</v>
      </c>
      <c r="G266" s="78"/>
      <c r="H266" s="78"/>
      <c r="I266" s="78"/>
      <c r="J266" s="78"/>
      <c r="K266" s="78"/>
      <c r="L266" s="78"/>
      <c r="M266" s="78"/>
      <c r="N266" s="78"/>
      <c r="O266" s="84" t="s">
        <v>1324</v>
      </c>
      <c r="P266" s="78"/>
      <c r="Q266" s="78"/>
    </row>
    <row r="267" spans="1:17" ht="15" x14ac:dyDescent="0.25">
      <c r="A267" s="78">
        <v>260</v>
      </c>
      <c r="B267" s="85" t="s">
        <v>563</v>
      </c>
      <c r="C267" s="84" t="s">
        <v>1103</v>
      </c>
      <c r="D267" s="84" t="s">
        <v>1033</v>
      </c>
      <c r="E267" s="79"/>
      <c r="F267" s="84" t="s">
        <v>1502</v>
      </c>
      <c r="G267" s="78"/>
      <c r="H267" s="78"/>
      <c r="I267" s="78"/>
      <c r="J267" s="78"/>
      <c r="K267" s="78"/>
      <c r="L267" s="78"/>
      <c r="M267" s="78"/>
      <c r="N267" s="78"/>
      <c r="O267" s="84" t="s">
        <v>1325</v>
      </c>
      <c r="P267" s="78"/>
      <c r="Q267" s="78"/>
    </row>
    <row r="268" spans="1:17" ht="15" x14ac:dyDescent="0.25">
      <c r="A268" s="78">
        <v>261</v>
      </c>
      <c r="B268" s="85" t="s">
        <v>563</v>
      </c>
      <c r="C268" s="84" t="s">
        <v>1103</v>
      </c>
      <c r="D268" s="84" t="s">
        <v>1034</v>
      </c>
      <c r="E268" s="79"/>
      <c r="F268" s="84" t="s">
        <v>1502</v>
      </c>
      <c r="G268" s="78"/>
      <c r="H268" s="78"/>
      <c r="I268" s="78"/>
      <c r="J268" s="78"/>
      <c r="K268" s="78"/>
      <c r="L268" s="78"/>
      <c r="M268" s="78"/>
      <c r="N268" s="78"/>
      <c r="O268" s="89" t="s">
        <v>954</v>
      </c>
      <c r="P268" s="78"/>
      <c r="Q268" s="78"/>
    </row>
    <row r="269" spans="1:17" ht="15" x14ac:dyDescent="0.25">
      <c r="A269" s="78">
        <v>262</v>
      </c>
      <c r="B269" s="85" t="s">
        <v>563</v>
      </c>
      <c r="C269" s="84" t="s">
        <v>1103</v>
      </c>
      <c r="D269" s="84" t="s">
        <v>1035</v>
      </c>
      <c r="E269" s="79"/>
      <c r="F269" s="84" t="s">
        <v>1502</v>
      </c>
      <c r="G269" s="78"/>
      <c r="H269" s="78"/>
      <c r="I269" s="78"/>
      <c r="J269" s="78"/>
      <c r="K269" s="78"/>
      <c r="L269" s="78"/>
      <c r="M269" s="78"/>
      <c r="N269" s="78"/>
      <c r="O269" s="89" t="s">
        <v>955</v>
      </c>
      <c r="P269" s="78"/>
      <c r="Q269" s="78"/>
    </row>
    <row r="270" spans="1:17" ht="15" x14ac:dyDescent="0.25">
      <c r="A270" s="78">
        <v>263</v>
      </c>
      <c r="B270" s="85" t="s">
        <v>563</v>
      </c>
      <c r="C270" s="84" t="s">
        <v>1103</v>
      </c>
      <c r="D270" s="84" t="s">
        <v>1036</v>
      </c>
      <c r="E270" s="79"/>
      <c r="F270" s="84" t="s">
        <v>1502</v>
      </c>
      <c r="G270" s="78"/>
      <c r="H270" s="78"/>
      <c r="I270" s="78"/>
      <c r="J270" s="78"/>
      <c r="K270" s="78"/>
      <c r="L270" s="78"/>
      <c r="M270" s="78"/>
      <c r="N270" s="78"/>
      <c r="O270" s="89" t="s">
        <v>956</v>
      </c>
      <c r="P270" s="78"/>
      <c r="Q270" s="78"/>
    </row>
    <row r="271" spans="1:17" ht="15" x14ac:dyDescent="0.25">
      <c r="A271" s="78">
        <v>264</v>
      </c>
      <c r="B271" s="85" t="s">
        <v>563</v>
      </c>
      <c r="C271" s="84" t="s">
        <v>1103</v>
      </c>
      <c r="D271" s="84" t="s">
        <v>1037</v>
      </c>
      <c r="E271" s="79"/>
      <c r="F271" s="84" t="s">
        <v>1502</v>
      </c>
      <c r="G271" s="78"/>
      <c r="H271" s="78"/>
      <c r="I271" s="78"/>
      <c r="J271" s="78"/>
      <c r="K271" s="78"/>
      <c r="L271" s="78"/>
      <c r="M271" s="78"/>
      <c r="N271" s="78"/>
      <c r="O271" s="89" t="s">
        <v>957</v>
      </c>
      <c r="P271" s="78"/>
      <c r="Q271" s="78"/>
    </row>
    <row r="272" spans="1:17" ht="15" x14ac:dyDescent="0.25">
      <c r="A272" s="78">
        <v>265</v>
      </c>
      <c r="B272" s="85" t="s">
        <v>563</v>
      </c>
      <c r="C272" s="84" t="s">
        <v>1103</v>
      </c>
      <c r="D272" s="84" t="s">
        <v>1038</v>
      </c>
      <c r="E272" s="79"/>
      <c r="F272" s="84" t="s">
        <v>1502</v>
      </c>
      <c r="G272" s="78"/>
      <c r="H272" s="78"/>
      <c r="I272" s="78"/>
      <c r="J272" s="78"/>
      <c r="K272" s="78"/>
      <c r="L272" s="78"/>
      <c r="M272" s="78"/>
      <c r="N272" s="78"/>
      <c r="O272" s="89" t="s">
        <v>958</v>
      </c>
      <c r="P272" s="78"/>
      <c r="Q272" s="78"/>
    </row>
    <row r="273" spans="1:17" ht="15" x14ac:dyDescent="0.25">
      <c r="A273" s="78">
        <v>266</v>
      </c>
      <c r="B273" s="85" t="s">
        <v>563</v>
      </c>
      <c r="C273" s="84" t="s">
        <v>1103</v>
      </c>
      <c r="D273" s="84" t="s">
        <v>1039</v>
      </c>
      <c r="E273" s="79"/>
      <c r="F273" s="84" t="s">
        <v>1502</v>
      </c>
      <c r="G273" s="78"/>
      <c r="H273" s="78"/>
      <c r="I273" s="78"/>
      <c r="J273" s="78"/>
      <c r="K273" s="78"/>
      <c r="L273" s="78"/>
      <c r="M273" s="78"/>
      <c r="N273" s="78"/>
      <c r="O273" s="89" t="s">
        <v>959</v>
      </c>
      <c r="P273" s="78"/>
      <c r="Q273" s="78"/>
    </row>
    <row r="274" spans="1:17" ht="15" x14ac:dyDescent="0.25">
      <c r="A274" s="78">
        <v>267</v>
      </c>
      <c r="B274" s="85" t="s">
        <v>563</v>
      </c>
      <c r="C274" s="84" t="s">
        <v>1103</v>
      </c>
      <c r="D274" s="84" t="s">
        <v>1040</v>
      </c>
      <c r="E274" s="79"/>
      <c r="F274" s="84" t="s">
        <v>1502</v>
      </c>
      <c r="G274" s="78"/>
      <c r="H274" s="78"/>
      <c r="I274" s="78"/>
      <c r="J274" s="78"/>
      <c r="K274" s="78"/>
      <c r="L274" s="78"/>
      <c r="M274" s="78"/>
      <c r="N274" s="78"/>
      <c r="O274" s="89" t="s">
        <v>960</v>
      </c>
      <c r="P274" s="78"/>
      <c r="Q274" s="78"/>
    </row>
    <row r="275" spans="1:17" ht="15" x14ac:dyDescent="0.25">
      <c r="A275" s="78">
        <v>268</v>
      </c>
      <c r="B275" s="85" t="s">
        <v>563</v>
      </c>
      <c r="C275" s="83" t="s">
        <v>588</v>
      </c>
      <c r="D275" s="83" t="s">
        <v>805</v>
      </c>
      <c r="E275" s="79"/>
      <c r="F275" s="83" t="s">
        <v>230</v>
      </c>
      <c r="G275" s="78"/>
      <c r="H275" s="78"/>
      <c r="I275" s="78"/>
      <c r="J275" s="78"/>
      <c r="K275" s="78"/>
      <c r="L275" s="78"/>
      <c r="M275" s="78"/>
      <c r="N275" s="78"/>
      <c r="O275" s="84" t="s">
        <v>1326</v>
      </c>
      <c r="P275" s="78"/>
      <c r="Q275" s="78"/>
    </row>
    <row r="276" spans="1:17" ht="15" x14ac:dyDescent="0.25">
      <c r="A276" s="78">
        <v>269</v>
      </c>
      <c r="B276" s="85" t="s">
        <v>563</v>
      </c>
      <c r="C276" s="83" t="s">
        <v>588</v>
      </c>
      <c r="D276" s="83" t="s">
        <v>647</v>
      </c>
      <c r="E276" s="79"/>
      <c r="F276" s="83" t="s">
        <v>923</v>
      </c>
      <c r="G276" s="78"/>
      <c r="H276" s="78"/>
      <c r="I276" s="78"/>
      <c r="J276" s="78"/>
      <c r="K276" s="78"/>
      <c r="L276" s="78"/>
      <c r="M276" s="78"/>
      <c r="N276" s="78"/>
      <c r="O276" s="84" t="s">
        <v>1327</v>
      </c>
      <c r="P276" s="78"/>
      <c r="Q276" s="78"/>
    </row>
    <row r="277" spans="1:17" ht="45" x14ac:dyDescent="0.25">
      <c r="A277" s="78">
        <v>270</v>
      </c>
      <c r="B277" s="85" t="s">
        <v>563</v>
      </c>
      <c r="C277" s="83" t="s">
        <v>588</v>
      </c>
      <c r="D277" s="83" t="s">
        <v>806</v>
      </c>
      <c r="E277" s="79"/>
      <c r="F277" s="83" t="s">
        <v>923</v>
      </c>
      <c r="G277" s="78"/>
      <c r="H277" s="78"/>
      <c r="I277" s="78"/>
      <c r="J277" s="78"/>
      <c r="K277" s="78"/>
      <c r="L277" s="78"/>
      <c r="M277" s="78"/>
      <c r="N277" s="78"/>
      <c r="O277" s="87" t="s">
        <v>1328</v>
      </c>
      <c r="P277" s="78"/>
      <c r="Q277" s="78"/>
    </row>
    <row r="278" spans="1:17" ht="15" x14ac:dyDescent="0.25">
      <c r="A278" s="78">
        <v>271</v>
      </c>
      <c r="B278" s="85" t="s">
        <v>563</v>
      </c>
      <c r="C278" s="83" t="s">
        <v>588</v>
      </c>
      <c r="D278" s="83" t="s">
        <v>807</v>
      </c>
      <c r="E278" s="79"/>
      <c r="F278" s="84"/>
      <c r="G278" s="78"/>
      <c r="H278" s="78"/>
      <c r="I278" s="78"/>
      <c r="J278" s="78"/>
      <c r="K278" s="78"/>
      <c r="L278" s="78"/>
      <c r="M278" s="78"/>
      <c r="N278" s="78"/>
      <c r="O278" s="84" t="s">
        <v>1329</v>
      </c>
      <c r="P278" s="78"/>
      <c r="Q278" s="78"/>
    </row>
    <row r="279" spans="1:17" ht="15" x14ac:dyDescent="0.25">
      <c r="A279" s="78">
        <v>272</v>
      </c>
      <c r="B279" s="85" t="s">
        <v>563</v>
      </c>
      <c r="C279" s="83" t="s">
        <v>588</v>
      </c>
      <c r="D279" s="83" t="s">
        <v>808</v>
      </c>
      <c r="E279" s="79"/>
      <c r="F279" s="87"/>
      <c r="G279" s="78"/>
      <c r="H279" s="78"/>
      <c r="I279" s="78"/>
      <c r="J279" s="78"/>
      <c r="K279" s="78"/>
      <c r="L279" s="78"/>
      <c r="M279" s="78"/>
      <c r="N279" s="78"/>
      <c r="O279" s="84" t="s">
        <v>1330</v>
      </c>
      <c r="P279" s="78"/>
      <c r="Q279" s="78"/>
    </row>
    <row r="280" spans="1:17" ht="15" x14ac:dyDescent="0.25">
      <c r="A280" s="78">
        <v>273</v>
      </c>
      <c r="B280" s="85" t="s">
        <v>563</v>
      </c>
      <c r="C280" s="83" t="s">
        <v>588</v>
      </c>
      <c r="D280" s="83" t="s">
        <v>809</v>
      </c>
      <c r="E280" s="79"/>
      <c r="F280" s="87"/>
      <c r="G280" s="78"/>
      <c r="H280" s="78"/>
      <c r="I280" s="78"/>
      <c r="J280" s="78"/>
      <c r="K280" s="78"/>
      <c r="L280" s="78"/>
      <c r="M280" s="78"/>
      <c r="N280" s="78"/>
      <c r="O280" s="84" t="s">
        <v>1331</v>
      </c>
      <c r="P280" s="78"/>
      <c r="Q280" s="78"/>
    </row>
    <row r="281" spans="1:17" ht="15" x14ac:dyDescent="0.25">
      <c r="A281" s="78">
        <v>274</v>
      </c>
      <c r="B281" s="85" t="s">
        <v>563</v>
      </c>
      <c r="C281" s="83" t="s">
        <v>588</v>
      </c>
      <c r="D281" s="83" t="s">
        <v>810</v>
      </c>
      <c r="E281" s="79"/>
      <c r="F281" s="84"/>
      <c r="G281" s="78"/>
      <c r="H281" s="78"/>
      <c r="I281" s="78"/>
      <c r="J281" s="78"/>
      <c r="K281" s="78"/>
      <c r="L281" s="78"/>
      <c r="M281" s="78"/>
      <c r="N281" s="78"/>
      <c r="O281" s="84" t="s">
        <v>1332</v>
      </c>
      <c r="P281" s="78"/>
      <c r="Q281" s="78"/>
    </row>
    <row r="282" spans="1:17" ht="15" x14ac:dyDescent="0.25">
      <c r="A282" s="78">
        <v>275</v>
      </c>
      <c r="B282" s="85" t="s">
        <v>563</v>
      </c>
      <c r="C282" s="83" t="s">
        <v>588</v>
      </c>
      <c r="D282" s="83" t="s">
        <v>811</v>
      </c>
      <c r="E282" s="79"/>
      <c r="F282" s="84"/>
      <c r="G282" s="78"/>
      <c r="H282" s="78"/>
      <c r="I282" s="78"/>
      <c r="J282" s="78"/>
      <c r="K282" s="78"/>
      <c r="L282" s="78"/>
      <c r="M282" s="78"/>
      <c r="N282" s="78"/>
      <c r="O282" s="84" t="s">
        <v>1333</v>
      </c>
      <c r="P282" s="78"/>
      <c r="Q282" s="78"/>
    </row>
    <row r="283" spans="1:17" ht="15" x14ac:dyDescent="0.25">
      <c r="A283" s="78">
        <v>276</v>
      </c>
      <c r="B283" s="85" t="s">
        <v>563</v>
      </c>
      <c r="C283" s="83" t="s">
        <v>588</v>
      </c>
      <c r="D283" s="83" t="s">
        <v>812</v>
      </c>
      <c r="E283" s="79"/>
      <c r="F283" s="84"/>
      <c r="G283" s="78"/>
      <c r="H283" s="78"/>
      <c r="I283" s="78"/>
      <c r="J283" s="78"/>
      <c r="K283" s="78"/>
      <c r="L283" s="78"/>
      <c r="M283" s="78"/>
      <c r="N283" s="78"/>
      <c r="O283" s="84" t="s">
        <v>1334</v>
      </c>
      <c r="P283" s="78"/>
      <c r="Q283" s="78"/>
    </row>
    <row r="284" spans="1:17" ht="15" x14ac:dyDescent="0.25">
      <c r="A284" s="78">
        <v>277</v>
      </c>
      <c r="B284" s="85" t="s">
        <v>563</v>
      </c>
      <c r="C284" s="83" t="s">
        <v>588</v>
      </c>
      <c r="D284" s="83" t="s">
        <v>813</v>
      </c>
      <c r="E284" s="79"/>
      <c r="F284" s="84"/>
      <c r="G284" s="78"/>
      <c r="H284" s="78"/>
      <c r="I284" s="78"/>
      <c r="J284" s="78"/>
      <c r="K284" s="78"/>
      <c r="L284" s="78"/>
      <c r="M284" s="78"/>
      <c r="N284" s="78"/>
      <c r="O284" s="84" t="s">
        <v>1335</v>
      </c>
      <c r="P284" s="78"/>
      <c r="Q284" s="78"/>
    </row>
    <row r="285" spans="1:17" ht="15" x14ac:dyDescent="0.25">
      <c r="A285" s="78">
        <v>278</v>
      </c>
      <c r="B285" s="85" t="s">
        <v>563</v>
      </c>
      <c r="C285" s="83" t="s">
        <v>588</v>
      </c>
      <c r="D285" s="83" t="s">
        <v>814</v>
      </c>
      <c r="E285" s="79"/>
      <c r="F285" s="84"/>
      <c r="G285" s="78"/>
      <c r="H285" s="78"/>
      <c r="I285" s="78"/>
      <c r="J285" s="78"/>
      <c r="K285" s="78"/>
      <c r="L285" s="78"/>
      <c r="M285" s="78"/>
      <c r="N285" s="78"/>
      <c r="O285" s="84" t="s">
        <v>1336</v>
      </c>
      <c r="P285" s="78"/>
      <c r="Q285" s="78"/>
    </row>
    <row r="286" spans="1:17" ht="15" x14ac:dyDescent="0.25">
      <c r="A286" s="78">
        <v>279</v>
      </c>
      <c r="B286" s="85" t="s">
        <v>563</v>
      </c>
      <c r="C286" s="83" t="s">
        <v>588</v>
      </c>
      <c r="D286" s="83" t="s">
        <v>815</v>
      </c>
      <c r="E286" s="79"/>
      <c r="F286" s="84"/>
      <c r="G286" s="78"/>
      <c r="H286" s="78"/>
      <c r="I286" s="78"/>
      <c r="J286" s="78"/>
      <c r="K286" s="78"/>
      <c r="L286" s="78"/>
      <c r="M286" s="78"/>
      <c r="N286" s="78"/>
      <c r="O286" s="84" t="s">
        <v>1337</v>
      </c>
      <c r="P286" s="78"/>
      <c r="Q286" s="78"/>
    </row>
    <row r="287" spans="1:17" ht="15" x14ac:dyDescent="0.25">
      <c r="A287" s="78">
        <v>280</v>
      </c>
      <c r="B287" s="85" t="s">
        <v>563</v>
      </c>
      <c r="C287" s="83" t="s">
        <v>588</v>
      </c>
      <c r="D287" s="83" t="s">
        <v>816</v>
      </c>
      <c r="E287" s="79"/>
      <c r="F287" s="84"/>
      <c r="G287" s="78"/>
      <c r="H287" s="78"/>
      <c r="I287" s="78"/>
      <c r="J287" s="78"/>
      <c r="K287" s="78"/>
      <c r="L287" s="78"/>
      <c r="M287" s="78"/>
      <c r="N287" s="78"/>
      <c r="O287" s="84" t="s">
        <v>1338</v>
      </c>
      <c r="P287" s="78"/>
      <c r="Q287" s="78"/>
    </row>
    <row r="288" spans="1:17" ht="15" x14ac:dyDescent="0.25">
      <c r="A288" s="78">
        <v>281</v>
      </c>
      <c r="B288" s="85" t="s">
        <v>564</v>
      </c>
      <c r="C288" s="85" t="s">
        <v>564</v>
      </c>
      <c r="D288" s="83" t="s">
        <v>817</v>
      </c>
      <c r="E288" s="79"/>
      <c r="F288" s="83" t="s">
        <v>924</v>
      </c>
      <c r="G288" s="78"/>
      <c r="H288" s="78"/>
      <c r="I288" s="78"/>
      <c r="J288" s="78"/>
      <c r="K288" s="78"/>
      <c r="L288" s="78"/>
      <c r="M288" s="78"/>
      <c r="N288" s="78"/>
      <c r="O288" s="84" t="s">
        <v>1339</v>
      </c>
      <c r="P288" s="78"/>
      <c r="Q288" s="78"/>
    </row>
    <row r="289" spans="1:17" ht="15" x14ac:dyDescent="0.25">
      <c r="A289" s="78">
        <v>282</v>
      </c>
      <c r="B289" s="85" t="s">
        <v>564</v>
      </c>
      <c r="C289" s="85" t="s">
        <v>564</v>
      </c>
      <c r="D289" s="83" t="s">
        <v>818</v>
      </c>
      <c r="E289" s="79"/>
      <c r="F289" s="83" t="s">
        <v>925</v>
      </c>
      <c r="G289" s="78"/>
      <c r="H289" s="78"/>
      <c r="I289" s="78"/>
      <c r="J289" s="78"/>
      <c r="K289" s="78"/>
      <c r="L289" s="78"/>
      <c r="M289" s="78"/>
      <c r="N289" s="78"/>
      <c r="O289" s="89" t="s">
        <v>961</v>
      </c>
      <c r="P289" s="78"/>
      <c r="Q289" s="78"/>
    </row>
    <row r="290" spans="1:17" ht="15" x14ac:dyDescent="0.25">
      <c r="A290" s="78">
        <v>283</v>
      </c>
      <c r="B290" s="85" t="s">
        <v>564</v>
      </c>
      <c r="C290" s="85" t="s">
        <v>564</v>
      </c>
      <c r="D290" s="83" t="s">
        <v>819</v>
      </c>
      <c r="E290" s="79"/>
      <c r="F290" s="84" t="s">
        <v>1502</v>
      </c>
      <c r="G290" s="78"/>
      <c r="H290" s="78"/>
      <c r="I290" s="78"/>
      <c r="J290" s="78"/>
      <c r="K290" s="78"/>
      <c r="L290" s="78"/>
      <c r="M290" s="78"/>
      <c r="N290" s="78"/>
      <c r="O290" s="84" t="s">
        <v>1340</v>
      </c>
      <c r="P290" s="78"/>
      <c r="Q290" s="78"/>
    </row>
    <row r="291" spans="1:17" ht="15" x14ac:dyDescent="0.25">
      <c r="A291" s="78">
        <v>284</v>
      </c>
      <c r="B291" s="85" t="s">
        <v>564</v>
      </c>
      <c r="C291" s="82" t="s">
        <v>589</v>
      </c>
      <c r="D291" s="83" t="s">
        <v>820</v>
      </c>
      <c r="E291" s="79"/>
      <c r="F291" s="83" t="s">
        <v>323</v>
      </c>
      <c r="G291" s="78"/>
      <c r="H291" s="78"/>
      <c r="I291" s="78"/>
      <c r="J291" s="78"/>
      <c r="K291" s="78"/>
      <c r="L291" s="78"/>
      <c r="M291" s="78"/>
      <c r="N291" s="78"/>
      <c r="O291" s="84" t="s">
        <v>1341</v>
      </c>
      <c r="P291" s="78"/>
      <c r="Q291" s="78"/>
    </row>
    <row r="292" spans="1:17" ht="15" x14ac:dyDescent="0.25">
      <c r="A292" s="78">
        <v>285</v>
      </c>
      <c r="B292" s="85" t="s">
        <v>564</v>
      </c>
      <c r="C292" s="82" t="s">
        <v>589</v>
      </c>
      <c r="D292" s="83" t="s">
        <v>821</v>
      </c>
      <c r="E292" s="79"/>
      <c r="F292" s="83" t="s">
        <v>918</v>
      </c>
      <c r="G292" s="78"/>
      <c r="H292" s="78"/>
      <c r="I292" s="78"/>
      <c r="J292" s="78"/>
      <c r="K292" s="78"/>
      <c r="L292" s="78"/>
      <c r="M292" s="78"/>
      <c r="N292" s="78"/>
      <c r="O292" s="89" t="s">
        <v>962</v>
      </c>
      <c r="P292" s="78"/>
      <c r="Q292" s="78"/>
    </row>
    <row r="293" spans="1:17" ht="15" x14ac:dyDescent="0.25">
      <c r="A293" s="78">
        <v>286</v>
      </c>
      <c r="B293" s="85" t="s">
        <v>564</v>
      </c>
      <c r="C293" s="82" t="s">
        <v>589</v>
      </c>
      <c r="D293" s="83" t="s">
        <v>822</v>
      </c>
      <c r="E293" s="79"/>
      <c r="F293" s="84" t="s">
        <v>1502</v>
      </c>
      <c r="G293" s="78"/>
      <c r="H293" s="78"/>
      <c r="I293" s="78"/>
      <c r="J293" s="78"/>
      <c r="K293" s="78"/>
      <c r="L293" s="78"/>
      <c r="M293" s="78"/>
      <c r="N293" s="78"/>
      <c r="O293" s="84" t="s">
        <v>1342</v>
      </c>
      <c r="P293" s="78"/>
      <c r="Q293" s="78"/>
    </row>
    <row r="294" spans="1:17" ht="15" x14ac:dyDescent="0.25">
      <c r="A294" s="78">
        <v>287</v>
      </c>
      <c r="B294" s="85" t="s">
        <v>564</v>
      </c>
      <c r="C294" s="82" t="s">
        <v>589</v>
      </c>
      <c r="D294" s="83" t="s">
        <v>823</v>
      </c>
      <c r="E294" s="79"/>
      <c r="F294" s="84" t="s">
        <v>1502</v>
      </c>
      <c r="G294" s="78"/>
      <c r="H294" s="78"/>
      <c r="I294" s="78"/>
      <c r="J294" s="78"/>
      <c r="K294" s="78"/>
      <c r="L294" s="78"/>
      <c r="M294" s="78"/>
      <c r="N294" s="78"/>
      <c r="O294" s="84" t="s">
        <v>1343</v>
      </c>
      <c r="P294" s="78"/>
      <c r="Q294" s="78"/>
    </row>
    <row r="295" spans="1:17" ht="15" x14ac:dyDescent="0.25">
      <c r="A295" s="78">
        <v>288</v>
      </c>
      <c r="B295" s="85" t="s">
        <v>564</v>
      </c>
      <c r="C295" s="82" t="s">
        <v>589</v>
      </c>
      <c r="D295" s="83" t="s">
        <v>824</v>
      </c>
      <c r="E295" s="79"/>
      <c r="F295" s="84" t="s">
        <v>1502</v>
      </c>
      <c r="G295" s="78"/>
      <c r="H295" s="78"/>
      <c r="I295" s="78"/>
      <c r="J295" s="78"/>
      <c r="K295" s="78"/>
      <c r="L295" s="78"/>
      <c r="M295" s="78"/>
      <c r="N295" s="78"/>
      <c r="O295" s="89" t="s">
        <v>963</v>
      </c>
      <c r="P295" s="78"/>
      <c r="Q295" s="78"/>
    </row>
    <row r="296" spans="1:17" ht="15" x14ac:dyDescent="0.25">
      <c r="A296" s="78">
        <v>289</v>
      </c>
      <c r="B296" s="85" t="s">
        <v>564</v>
      </c>
      <c r="C296" s="82" t="s">
        <v>589</v>
      </c>
      <c r="D296" s="83" t="s">
        <v>825</v>
      </c>
      <c r="E296" s="79"/>
      <c r="F296" s="84" t="s">
        <v>1502</v>
      </c>
      <c r="G296" s="78"/>
      <c r="H296" s="78"/>
      <c r="I296" s="78"/>
      <c r="J296" s="78"/>
      <c r="K296" s="78"/>
      <c r="L296" s="78"/>
      <c r="M296" s="78"/>
      <c r="N296" s="78"/>
      <c r="O296" s="84" t="s">
        <v>1344</v>
      </c>
      <c r="P296" s="78"/>
      <c r="Q296" s="78"/>
    </row>
    <row r="297" spans="1:17" ht="15" x14ac:dyDescent="0.25">
      <c r="A297" s="78">
        <v>290</v>
      </c>
      <c r="B297" s="85" t="s">
        <v>564</v>
      </c>
      <c r="C297" s="82" t="s">
        <v>589</v>
      </c>
      <c r="D297" s="83" t="s">
        <v>826</v>
      </c>
      <c r="E297" s="79"/>
      <c r="F297" s="84" t="s">
        <v>1502</v>
      </c>
      <c r="G297" s="78"/>
      <c r="H297" s="78"/>
      <c r="I297" s="78"/>
      <c r="J297" s="78"/>
      <c r="K297" s="78"/>
      <c r="L297" s="78"/>
      <c r="M297" s="78"/>
      <c r="N297" s="78"/>
      <c r="O297" s="84" t="s">
        <v>1345</v>
      </c>
      <c r="P297" s="78"/>
      <c r="Q297" s="78"/>
    </row>
    <row r="298" spans="1:17" ht="15" x14ac:dyDescent="0.25">
      <c r="A298" s="78">
        <v>291</v>
      </c>
      <c r="B298" s="85" t="s">
        <v>564</v>
      </c>
      <c r="C298" s="82" t="s">
        <v>590</v>
      </c>
      <c r="D298" s="83" t="s">
        <v>827</v>
      </c>
      <c r="E298" s="79"/>
      <c r="F298" s="83" t="s">
        <v>323</v>
      </c>
      <c r="G298" s="78"/>
      <c r="H298" s="78"/>
      <c r="I298" s="78"/>
      <c r="J298" s="78"/>
      <c r="K298" s="78"/>
      <c r="L298" s="78"/>
      <c r="M298" s="78"/>
      <c r="N298" s="78"/>
      <c r="O298" s="84" t="s">
        <v>1346</v>
      </c>
      <c r="P298" s="78"/>
      <c r="Q298" s="78"/>
    </row>
    <row r="299" spans="1:17" ht="15" x14ac:dyDescent="0.25">
      <c r="A299" s="78">
        <v>292</v>
      </c>
      <c r="B299" s="85" t="s">
        <v>564</v>
      </c>
      <c r="C299" s="82" t="s">
        <v>590</v>
      </c>
      <c r="D299" s="83" t="s">
        <v>828</v>
      </c>
      <c r="E299" s="79"/>
      <c r="F299" s="83" t="s">
        <v>918</v>
      </c>
      <c r="G299" s="78"/>
      <c r="H299" s="78"/>
      <c r="I299" s="78"/>
      <c r="J299" s="78"/>
      <c r="K299" s="78"/>
      <c r="L299" s="78"/>
      <c r="M299" s="78"/>
      <c r="N299" s="78"/>
      <c r="O299" s="84" t="s">
        <v>1347</v>
      </c>
      <c r="P299" s="78"/>
      <c r="Q299" s="78"/>
    </row>
    <row r="300" spans="1:17" ht="15" x14ac:dyDescent="0.25">
      <c r="A300" s="78">
        <v>293</v>
      </c>
      <c r="B300" s="85" t="s">
        <v>564</v>
      </c>
      <c r="C300" s="82" t="s">
        <v>590</v>
      </c>
      <c r="D300" s="83" t="s">
        <v>829</v>
      </c>
      <c r="E300" s="79"/>
      <c r="F300" s="84" t="s">
        <v>1502</v>
      </c>
      <c r="G300" s="78"/>
      <c r="H300" s="78"/>
      <c r="I300" s="78"/>
      <c r="J300" s="78"/>
      <c r="K300" s="78"/>
      <c r="L300" s="78"/>
      <c r="M300" s="78"/>
      <c r="N300" s="78"/>
      <c r="O300" s="84" t="s">
        <v>1348</v>
      </c>
      <c r="P300" s="78"/>
      <c r="Q300" s="78"/>
    </row>
    <row r="301" spans="1:17" ht="15" x14ac:dyDescent="0.25">
      <c r="A301" s="78">
        <v>294</v>
      </c>
      <c r="B301" s="85" t="s">
        <v>564</v>
      </c>
      <c r="C301" s="82" t="s">
        <v>590</v>
      </c>
      <c r="D301" s="83" t="s">
        <v>830</v>
      </c>
      <c r="E301" s="79"/>
      <c r="F301" s="84" t="s">
        <v>1502</v>
      </c>
      <c r="G301" s="78"/>
      <c r="H301" s="78"/>
      <c r="I301" s="78"/>
      <c r="J301" s="78"/>
      <c r="K301" s="78"/>
      <c r="L301" s="78"/>
      <c r="M301" s="78"/>
      <c r="N301" s="78"/>
      <c r="O301" s="84" t="s">
        <v>1349</v>
      </c>
      <c r="P301" s="78"/>
      <c r="Q301" s="78"/>
    </row>
    <row r="302" spans="1:17" ht="15" x14ac:dyDescent="0.25">
      <c r="A302" s="78">
        <v>295</v>
      </c>
      <c r="B302" s="85" t="s">
        <v>564</v>
      </c>
      <c r="C302" s="82" t="s">
        <v>590</v>
      </c>
      <c r="D302" s="83" t="s">
        <v>831</v>
      </c>
      <c r="E302" s="79"/>
      <c r="F302" s="84" t="s">
        <v>1502</v>
      </c>
      <c r="G302" s="78"/>
      <c r="H302" s="78"/>
      <c r="I302" s="78"/>
      <c r="J302" s="78"/>
      <c r="K302" s="78"/>
      <c r="L302" s="78"/>
      <c r="M302" s="78"/>
      <c r="N302" s="78"/>
      <c r="O302" s="84" t="s">
        <v>1350</v>
      </c>
      <c r="P302" s="78"/>
      <c r="Q302" s="78"/>
    </row>
    <row r="303" spans="1:17" ht="15" x14ac:dyDescent="0.25">
      <c r="A303" s="78">
        <v>296</v>
      </c>
      <c r="B303" s="85" t="s">
        <v>564</v>
      </c>
      <c r="C303" s="82" t="s">
        <v>590</v>
      </c>
      <c r="D303" s="83" t="s">
        <v>832</v>
      </c>
      <c r="E303" s="79"/>
      <c r="F303" s="84" t="s">
        <v>1502</v>
      </c>
      <c r="G303" s="78"/>
      <c r="H303" s="78"/>
      <c r="I303" s="78"/>
      <c r="J303" s="78"/>
      <c r="K303" s="78"/>
      <c r="L303" s="78"/>
      <c r="M303" s="78"/>
      <c r="N303" s="78"/>
      <c r="O303" s="89" t="s">
        <v>964</v>
      </c>
      <c r="P303" s="78"/>
      <c r="Q303" s="78"/>
    </row>
    <row r="304" spans="1:17" ht="15" x14ac:dyDescent="0.25">
      <c r="A304" s="78">
        <v>297</v>
      </c>
      <c r="B304" s="85" t="s">
        <v>565</v>
      </c>
      <c r="C304" s="85" t="s">
        <v>565</v>
      </c>
      <c r="D304" s="83" t="s">
        <v>833</v>
      </c>
      <c r="E304" s="79"/>
      <c r="F304" s="83" t="s">
        <v>924</v>
      </c>
      <c r="G304" s="78"/>
      <c r="H304" s="78"/>
      <c r="I304" s="78"/>
      <c r="J304" s="78"/>
      <c r="K304" s="78"/>
      <c r="L304" s="78"/>
      <c r="M304" s="78"/>
      <c r="N304" s="78"/>
      <c r="O304" s="84" t="s">
        <v>1351</v>
      </c>
      <c r="P304" s="78"/>
      <c r="Q304" s="78"/>
    </row>
    <row r="305" spans="1:17" ht="15" x14ac:dyDescent="0.25">
      <c r="A305" s="78">
        <v>298</v>
      </c>
      <c r="B305" s="85" t="s">
        <v>565</v>
      </c>
      <c r="C305" s="85" t="s">
        <v>565</v>
      </c>
      <c r="D305" s="83" t="s">
        <v>834</v>
      </c>
      <c r="E305" s="79"/>
      <c r="F305" s="83" t="s">
        <v>925</v>
      </c>
      <c r="G305" s="78"/>
      <c r="H305" s="78"/>
      <c r="I305" s="78"/>
      <c r="J305" s="78"/>
      <c r="K305" s="78"/>
      <c r="L305" s="78"/>
      <c r="M305" s="78"/>
      <c r="N305" s="78"/>
      <c r="O305" s="84" t="s">
        <v>1352</v>
      </c>
      <c r="P305" s="78"/>
      <c r="Q305" s="78"/>
    </row>
    <row r="306" spans="1:17" ht="15" x14ac:dyDescent="0.25">
      <c r="A306" s="78">
        <v>299</v>
      </c>
      <c r="B306" s="85" t="s">
        <v>565</v>
      </c>
      <c r="C306" s="85" t="s">
        <v>565</v>
      </c>
      <c r="D306" s="83" t="s">
        <v>1041</v>
      </c>
      <c r="E306" s="79"/>
      <c r="F306" s="84"/>
      <c r="G306" s="78"/>
      <c r="H306" s="78"/>
      <c r="I306" s="78"/>
      <c r="J306" s="78"/>
      <c r="K306" s="78"/>
      <c r="L306" s="78"/>
      <c r="M306" s="78"/>
      <c r="N306" s="78"/>
      <c r="O306" s="84" t="s">
        <v>1353</v>
      </c>
      <c r="P306" s="78"/>
      <c r="Q306" s="78"/>
    </row>
    <row r="307" spans="1:17" ht="15" x14ac:dyDescent="0.25">
      <c r="A307" s="78">
        <v>300</v>
      </c>
      <c r="B307" s="85" t="s">
        <v>565</v>
      </c>
      <c r="C307" s="85" t="s">
        <v>1104</v>
      </c>
      <c r="D307" s="84" t="s">
        <v>1042</v>
      </c>
      <c r="E307" s="79"/>
      <c r="F307" s="83" t="s">
        <v>323</v>
      </c>
      <c r="G307" s="78"/>
      <c r="H307" s="78"/>
      <c r="I307" s="78"/>
      <c r="J307" s="78"/>
      <c r="K307" s="78"/>
      <c r="L307" s="78"/>
      <c r="M307" s="78"/>
      <c r="N307" s="78"/>
      <c r="O307" s="83" t="s">
        <v>1354</v>
      </c>
      <c r="P307" s="78"/>
      <c r="Q307" s="78"/>
    </row>
    <row r="308" spans="1:17" ht="15" x14ac:dyDescent="0.25">
      <c r="A308" s="78">
        <v>301</v>
      </c>
      <c r="B308" s="85" t="s">
        <v>565</v>
      </c>
      <c r="C308" s="85" t="s">
        <v>1104</v>
      </c>
      <c r="D308" s="84" t="s">
        <v>1043</v>
      </c>
      <c r="E308" s="79"/>
      <c r="F308" s="84" t="s">
        <v>1502</v>
      </c>
      <c r="G308" s="78"/>
      <c r="H308" s="78"/>
      <c r="I308" s="78"/>
      <c r="J308" s="78"/>
      <c r="K308" s="78"/>
      <c r="L308" s="78"/>
      <c r="M308" s="78"/>
      <c r="N308" s="78"/>
      <c r="O308" s="84" t="s">
        <v>1355</v>
      </c>
      <c r="P308" s="78"/>
      <c r="Q308" s="78"/>
    </row>
    <row r="309" spans="1:17" ht="15" x14ac:dyDescent="0.25">
      <c r="A309" s="78">
        <v>302</v>
      </c>
      <c r="B309" s="85" t="s">
        <v>565</v>
      </c>
      <c r="C309" s="85" t="s">
        <v>1104</v>
      </c>
      <c r="D309" s="84" t="s">
        <v>861</v>
      </c>
      <c r="E309" s="79"/>
      <c r="F309" s="84" t="s">
        <v>1502</v>
      </c>
      <c r="G309" s="78"/>
      <c r="H309" s="78"/>
      <c r="I309" s="78"/>
      <c r="J309" s="78"/>
      <c r="K309" s="78"/>
      <c r="L309" s="78"/>
      <c r="M309" s="78"/>
      <c r="N309" s="78"/>
      <c r="O309" s="84" t="s">
        <v>1356</v>
      </c>
      <c r="P309" s="78"/>
      <c r="Q309" s="78"/>
    </row>
    <row r="310" spans="1:17" ht="15" x14ac:dyDescent="0.25">
      <c r="A310" s="78">
        <v>303</v>
      </c>
      <c r="B310" s="85" t="s">
        <v>565</v>
      </c>
      <c r="C310" s="85" t="s">
        <v>1104</v>
      </c>
      <c r="D310" s="84" t="s">
        <v>1044</v>
      </c>
      <c r="E310" s="79"/>
      <c r="F310" s="84" t="s">
        <v>1502</v>
      </c>
      <c r="G310" s="78"/>
      <c r="H310" s="78"/>
      <c r="I310" s="78"/>
      <c r="J310" s="78"/>
      <c r="K310" s="78"/>
      <c r="L310" s="78"/>
      <c r="M310" s="78"/>
      <c r="N310" s="78"/>
      <c r="O310" s="84" t="s">
        <v>1357</v>
      </c>
      <c r="P310" s="78"/>
      <c r="Q310" s="78"/>
    </row>
    <row r="311" spans="1:17" ht="15" x14ac:dyDescent="0.25">
      <c r="A311" s="78">
        <v>304</v>
      </c>
      <c r="B311" s="85" t="s">
        <v>565</v>
      </c>
      <c r="C311" s="85" t="s">
        <v>1104</v>
      </c>
      <c r="D311" s="84" t="s">
        <v>1045</v>
      </c>
      <c r="E311" s="79"/>
      <c r="F311" s="84" t="s">
        <v>1502</v>
      </c>
      <c r="G311" s="78"/>
      <c r="H311" s="78"/>
      <c r="I311" s="78"/>
      <c r="J311" s="78"/>
      <c r="K311" s="78"/>
      <c r="L311" s="78"/>
      <c r="M311" s="78"/>
      <c r="N311" s="78"/>
      <c r="O311" s="84" t="s">
        <v>1358</v>
      </c>
      <c r="P311" s="78"/>
      <c r="Q311" s="78"/>
    </row>
    <row r="312" spans="1:17" ht="15" x14ac:dyDescent="0.25">
      <c r="A312" s="78">
        <v>305</v>
      </c>
      <c r="B312" s="85" t="s">
        <v>565</v>
      </c>
      <c r="C312" s="85" t="s">
        <v>1104</v>
      </c>
      <c r="D312" s="84" t="s">
        <v>1046</v>
      </c>
      <c r="E312" s="79"/>
      <c r="F312" s="84" t="s">
        <v>1502</v>
      </c>
      <c r="G312" s="78"/>
      <c r="H312" s="78"/>
      <c r="I312" s="78"/>
      <c r="J312" s="78"/>
      <c r="K312" s="78"/>
      <c r="L312" s="78"/>
      <c r="M312" s="78"/>
      <c r="N312" s="78"/>
      <c r="O312" s="84" t="s">
        <v>1359</v>
      </c>
      <c r="P312" s="78"/>
      <c r="Q312" s="78"/>
    </row>
    <row r="313" spans="1:17" ht="15" x14ac:dyDescent="0.25">
      <c r="A313" s="78">
        <v>306</v>
      </c>
      <c r="B313" s="85" t="s">
        <v>565</v>
      </c>
      <c r="C313" s="85" t="s">
        <v>1104</v>
      </c>
      <c r="D313" s="84" t="s">
        <v>1047</v>
      </c>
      <c r="E313" s="79"/>
      <c r="F313" s="84" t="s">
        <v>1502</v>
      </c>
      <c r="G313" s="78"/>
      <c r="H313" s="78"/>
      <c r="I313" s="78"/>
      <c r="J313" s="78"/>
      <c r="K313" s="78"/>
      <c r="L313" s="78"/>
      <c r="M313" s="78"/>
      <c r="N313" s="78"/>
      <c r="O313" s="92" t="s">
        <v>965</v>
      </c>
      <c r="P313" s="78"/>
      <c r="Q313" s="78"/>
    </row>
    <row r="314" spans="1:17" ht="15" x14ac:dyDescent="0.25">
      <c r="A314" s="78">
        <v>307</v>
      </c>
      <c r="B314" s="85" t="s">
        <v>565</v>
      </c>
      <c r="C314" s="85" t="s">
        <v>1104</v>
      </c>
      <c r="D314" s="84" t="s">
        <v>1048</v>
      </c>
      <c r="E314" s="79"/>
      <c r="F314" s="84" t="s">
        <v>1502</v>
      </c>
      <c r="G314" s="78"/>
      <c r="H314" s="78"/>
      <c r="I314" s="78"/>
      <c r="J314" s="78"/>
      <c r="K314" s="78"/>
      <c r="L314" s="78"/>
      <c r="M314" s="78"/>
      <c r="N314" s="78"/>
      <c r="O314" s="84" t="s">
        <v>1360</v>
      </c>
      <c r="P314" s="78"/>
      <c r="Q314" s="78"/>
    </row>
    <row r="315" spans="1:17" ht="15" x14ac:dyDescent="0.25">
      <c r="A315" s="78">
        <v>308</v>
      </c>
      <c r="B315" s="85" t="s">
        <v>565</v>
      </c>
      <c r="C315" s="84" t="s">
        <v>1105</v>
      </c>
      <c r="D315" s="84" t="s">
        <v>1049</v>
      </c>
      <c r="E315" s="79"/>
      <c r="F315" s="84"/>
      <c r="G315" s="78"/>
      <c r="H315" s="78"/>
      <c r="I315" s="78"/>
      <c r="J315" s="78"/>
      <c r="K315" s="78"/>
      <c r="L315" s="78"/>
      <c r="M315" s="78"/>
      <c r="N315" s="78"/>
      <c r="O315" s="84" t="s">
        <v>1361</v>
      </c>
      <c r="P315" s="78"/>
      <c r="Q315" s="78"/>
    </row>
    <row r="316" spans="1:17" ht="15" x14ac:dyDescent="0.25">
      <c r="A316" s="78">
        <v>309</v>
      </c>
      <c r="B316" s="85" t="s">
        <v>565</v>
      </c>
      <c r="C316" s="84" t="s">
        <v>1105</v>
      </c>
      <c r="D316" s="84" t="s">
        <v>1050</v>
      </c>
      <c r="E316" s="79"/>
      <c r="F316" s="84" t="s">
        <v>1502</v>
      </c>
      <c r="G316" s="78"/>
      <c r="H316" s="78"/>
      <c r="I316" s="78"/>
      <c r="J316" s="78"/>
      <c r="K316" s="78"/>
      <c r="L316" s="78"/>
      <c r="M316" s="78"/>
      <c r="N316" s="78"/>
      <c r="O316" s="84" t="s">
        <v>1362</v>
      </c>
      <c r="P316" s="78"/>
      <c r="Q316" s="78"/>
    </row>
    <row r="317" spans="1:17" ht="15" x14ac:dyDescent="0.25">
      <c r="A317" s="78">
        <v>310</v>
      </c>
      <c r="B317" s="85" t="s">
        <v>565</v>
      </c>
      <c r="C317" s="84" t="s">
        <v>1105</v>
      </c>
      <c r="D317" s="84" t="s">
        <v>1051</v>
      </c>
      <c r="E317" s="79"/>
      <c r="F317" s="84" t="s">
        <v>1502</v>
      </c>
      <c r="G317" s="78"/>
      <c r="H317" s="78"/>
      <c r="I317" s="78"/>
      <c r="J317" s="78"/>
      <c r="K317" s="78"/>
      <c r="L317" s="78"/>
      <c r="M317" s="78"/>
      <c r="N317" s="78"/>
      <c r="O317" s="84" t="s">
        <v>1363</v>
      </c>
      <c r="P317" s="78"/>
      <c r="Q317" s="78"/>
    </row>
    <row r="318" spans="1:17" ht="15" x14ac:dyDescent="0.25">
      <c r="A318" s="78">
        <v>311</v>
      </c>
      <c r="B318" s="85" t="s">
        <v>565</v>
      </c>
      <c r="C318" s="84" t="s">
        <v>1105</v>
      </c>
      <c r="D318" s="84" t="s">
        <v>1052</v>
      </c>
      <c r="E318" s="79"/>
      <c r="F318" s="84" t="s">
        <v>1502</v>
      </c>
      <c r="G318" s="78"/>
      <c r="H318" s="78"/>
      <c r="I318" s="78"/>
      <c r="J318" s="78"/>
      <c r="K318" s="78"/>
      <c r="L318" s="78"/>
      <c r="M318" s="78"/>
      <c r="N318" s="78"/>
      <c r="O318" s="84" t="s">
        <v>1364</v>
      </c>
      <c r="P318" s="78"/>
      <c r="Q318" s="78"/>
    </row>
    <row r="319" spans="1:17" ht="15" x14ac:dyDescent="0.25">
      <c r="A319" s="78">
        <v>312</v>
      </c>
      <c r="B319" s="85" t="s">
        <v>565</v>
      </c>
      <c r="C319" s="84" t="s">
        <v>1105</v>
      </c>
      <c r="D319" s="84" t="s">
        <v>1053</v>
      </c>
      <c r="E319" s="79"/>
      <c r="F319" s="84" t="s">
        <v>1502</v>
      </c>
      <c r="G319" s="78"/>
      <c r="H319" s="78"/>
      <c r="I319" s="78"/>
      <c r="J319" s="78"/>
      <c r="K319" s="78"/>
      <c r="L319" s="78"/>
      <c r="M319" s="78"/>
      <c r="N319" s="78"/>
      <c r="O319" s="84" t="s">
        <v>1365</v>
      </c>
      <c r="P319" s="78"/>
      <c r="Q319" s="78"/>
    </row>
    <row r="320" spans="1:17" ht="15" x14ac:dyDescent="0.25">
      <c r="A320" s="78">
        <v>313</v>
      </c>
      <c r="B320" s="85" t="s">
        <v>565</v>
      </c>
      <c r="C320" s="84" t="s">
        <v>1105</v>
      </c>
      <c r="D320" s="84" t="s">
        <v>1054</v>
      </c>
      <c r="E320" s="79"/>
      <c r="F320" s="84" t="s">
        <v>1502</v>
      </c>
      <c r="G320" s="78"/>
      <c r="H320" s="78"/>
      <c r="I320" s="78"/>
      <c r="J320" s="78"/>
      <c r="K320" s="78"/>
      <c r="L320" s="78"/>
      <c r="M320" s="78"/>
      <c r="N320" s="78"/>
      <c r="O320" s="92" t="s">
        <v>966</v>
      </c>
      <c r="P320" s="78"/>
      <c r="Q320" s="78"/>
    </row>
    <row r="321" spans="1:17" ht="15" x14ac:dyDescent="0.25">
      <c r="A321" s="78">
        <v>314</v>
      </c>
      <c r="B321" s="85" t="s">
        <v>68</v>
      </c>
      <c r="C321" s="84" t="s">
        <v>579</v>
      </c>
      <c r="D321" s="84" t="s">
        <v>497</v>
      </c>
      <c r="E321" s="79"/>
      <c r="F321" s="83" t="s">
        <v>230</v>
      </c>
      <c r="G321" s="78" t="s">
        <v>192</v>
      </c>
      <c r="H321" s="78"/>
      <c r="I321" s="78"/>
      <c r="J321" s="78"/>
      <c r="K321" s="78"/>
      <c r="L321" s="78"/>
      <c r="M321" s="78"/>
      <c r="N321" s="78"/>
      <c r="O321" s="84" t="s">
        <v>1366</v>
      </c>
      <c r="P321" s="78"/>
      <c r="Q321" s="78"/>
    </row>
    <row r="322" spans="1:17" ht="15" x14ac:dyDescent="0.25">
      <c r="A322" s="78">
        <v>315</v>
      </c>
      <c r="B322" s="85" t="s">
        <v>68</v>
      </c>
      <c r="C322" s="84" t="s">
        <v>579</v>
      </c>
      <c r="D322" s="84" t="s">
        <v>835</v>
      </c>
      <c r="E322" s="79"/>
      <c r="F322" s="83" t="s">
        <v>926</v>
      </c>
      <c r="G322" s="78" t="s">
        <v>192</v>
      </c>
      <c r="H322" s="78"/>
      <c r="I322" s="78"/>
      <c r="J322" s="78"/>
      <c r="K322" s="78"/>
      <c r="L322" s="78"/>
      <c r="M322" s="78"/>
      <c r="N322" s="78"/>
      <c r="O322" s="84" t="s">
        <v>1367</v>
      </c>
      <c r="P322" s="78"/>
      <c r="Q322" s="78"/>
    </row>
    <row r="323" spans="1:17" ht="15" x14ac:dyDescent="0.25">
      <c r="A323" s="78">
        <v>316</v>
      </c>
      <c r="B323" s="85" t="s">
        <v>68</v>
      </c>
      <c r="C323" s="84" t="s">
        <v>579</v>
      </c>
      <c r="D323" s="84" t="s">
        <v>836</v>
      </c>
      <c r="E323" s="79"/>
      <c r="F323" s="83" t="s">
        <v>923</v>
      </c>
      <c r="G323" s="78" t="s">
        <v>192</v>
      </c>
      <c r="H323" s="78"/>
      <c r="I323" s="78"/>
      <c r="J323" s="78"/>
      <c r="K323" s="78"/>
      <c r="L323" s="78"/>
      <c r="M323" s="78"/>
      <c r="N323" s="78"/>
      <c r="O323" s="84" t="s">
        <v>1368</v>
      </c>
      <c r="P323" s="78"/>
      <c r="Q323" s="78"/>
    </row>
    <row r="324" spans="1:17" ht="15" x14ac:dyDescent="0.25">
      <c r="A324" s="78">
        <v>317</v>
      </c>
      <c r="B324" s="85" t="s">
        <v>68</v>
      </c>
      <c r="C324" s="84" t="s">
        <v>579</v>
      </c>
      <c r="D324" s="84" t="s">
        <v>837</v>
      </c>
      <c r="E324" s="79"/>
      <c r="F324" s="83" t="s">
        <v>923</v>
      </c>
      <c r="G324" s="78" t="s">
        <v>192</v>
      </c>
      <c r="H324" s="78"/>
      <c r="I324" s="78"/>
      <c r="J324" s="78"/>
      <c r="K324" s="78"/>
      <c r="L324" s="78"/>
      <c r="M324" s="78"/>
      <c r="N324" s="78"/>
      <c r="O324" s="84" t="s">
        <v>1369</v>
      </c>
      <c r="P324" s="78"/>
      <c r="Q324" s="78"/>
    </row>
    <row r="325" spans="1:17" ht="15" x14ac:dyDescent="0.25">
      <c r="A325" s="78">
        <v>318</v>
      </c>
      <c r="B325" s="85" t="s">
        <v>68</v>
      </c>
      <c r="C325" s="84" t="s">
        <v>591</v>
      </c>
      <c r="D325" s="84" t="s">
        <v>838</v>
      </c>
      <c r="E325" s="79"/>
      <c r="F325" s="83" t="s">
        <v>320</v>
      </c>
      <c r="G325" s="78" t="s">
        <v>192</v>
      </c>
      <c r="H325" s="78"/>
      <c r="I325" s="78"/>
      <c r="J325" s="78"/>
      <c r="K325" s="78"/>
      <c r="L325" s="78"/>
      <c r="M325" s="78"/>
      <c r="N325" s="78"/>
      <c r="O325" s="84" t="s">
        <v>1370</v>
      </c>
      <c r="P325" s="78"/>
      <c r="Q325" s="78"/>
    </row>
    <row r="326" spans="1:17" ht="18" x14ac:dyDescent="0.25">
      <c r="A326" s="78">
        <v>319</v>
      </c>
      <c r="B326" s="85" t="s">
        <v>68</v>
      </c>
      <c r="C326" s="84" t="s">
        <v>591</v>
      </c>
      <c r="D326" s="93" t="s">
        <v>839</v>
      </c>
      <c r="E326" s="79"/>
      <c r="F326" s="84"/>
      <c r="G326" s="78" t="s">
        <v>192</v>
      </c>
      <c r="H326" s="78"/>
      <c r="I326" s="78"/>
      <c r="J326" s="78"/>
      <c r="K326" s="78"/>
      <c r="L326" s="78"/>
      <c r="M326" s="78"/>
      <c r="N326" s="78"/>
      <c r="O326" s="84" t="s">
        <v>1371</v>
      </c>
      <c r="P326" s="78"/>
      <c r="Q326" s="78"/>
    </row>
    <row r="327" spans="1:17" ht="15" x14ac:dyDescent="0.25">
      <c r="A327" s="78">
        <v>320</v>
      </c>
      <c r="B327" s="85" t="s">
        <v>68</v>
      </c>
      <c r="C327" s="84" t="s">
        <v>591</v>
      </c>
      <c r="D327" s="83" t="s">
        <v>840</v>
      </c>
      <c r="E327" s="79"/>
      <c r="F327" s="84"/>
      <c r="G327" s="78" t="s">
        <v>192</v>
      </c>
      <c r="H327" s="78"/>
      <c r="I327" s="78"/>
      <c r="J327" s="78"/>
      <c r="K327" s="78"/>
      <c r="L327" s="78"/>
      <c r="M327" s="78"/>
      <c r="N327" s="78"/>
      <c r="O327" s="84" t="s">
        <v>1372</v>
      </c>
      <c r="P327" s="78"/>
      <c r="Q327" s="78"/>
    </row>
    <row r="328" spans="1:17" ht="15" x14ac:dyDescent="0.25">
      <c r="A328" s="78">
        <v>321</v>
      </c>
      <c r="B328" s="85" t="s">
        <v>68</v>
      </c>
      <c r="C328" s="84" t="s">
        <v>591</v>
      </c>
      <c r="D328" s="83" t="s">
        <v>841</v>
      </c>
      <c r="E328" s="79"/>
      <c r="F328" s="84"/>
      <c r="G328" s="78" t="s">
        <v>192</v>
      </c>
      <c r="H328" s="78"/>
      <c r="I328" s="78"/>
      <c r="J328" s="78"/>
      <c r="K328" s="78"/>
      <c r="L328" s="78"/>
      <c r="M328" s="78"/>
      <c r="N328" s="78"/>
      <c r="O328" s="84" t="s">
        <v>1373</v>
      </c>
      <c r="P328" s="78"/>
      <c r="Q328" s="78"/>
    </row>
    <row r="329" spans="1:17" ht="15" x14ac:dyDescent="0.25">
      <c r="A329" s="78">
        <v>322</v>
      </c>
      <c r="B329" s="85" t="s">
        <v>68</v>
      </c>
      <c r="C329" s="84" t="s">
        <v>591</v>
      </c>
      <c r="D329" s="84" t="s">
        <v>842</v>
      </c>
      <c r="E329" s="79"/>
      <c r="F329" s="84"/>
      <c r="G329" s="78" t="s">
        <v>192</v>
      </c>
      <c r="H329" s="78"/>
      <c r="I329" s="78"/>
      <c r="J329" s="78"/>
      <c r="K329" s="78"/>
      <c r="L329" s="78"/>
      <c r="M329" s="78"/>
      <c r="N329" s="78"/>
      <c r="O329" s="84"/>
      <c r="P329" s="78"/>
      <c r="Q329" s="78"/>
    </row>
    <row r="330" spans="1:17" ht="15" x14ac:dyDescent="0.25">
      <c r="A330" s="78">
        <v>323</v>
      </c>
      <c r="B330" s="85" t="s">
        <v>68</v>
      </c>
      <c r="C330" s="84" t="s">
        <v>591</v>
      </c>
      <c r="D330" s="83" t="s">
        <v>843</v>
      </c>
      <c r="E330" s="79"/>
      <c r="F330" s="84"/>
      <c r="G330" s="78" t="s">
        <v>192</v>
      </c>
      <c r="H330" s="78"/>
      <c r="I330" s="78"/>
      <c r="J330" s="78"/>
      <c r="K330" s="78"/>
      <c r="L330" s="78"/>
      <c r="M330" s="78"/>
      <c r="N330" s="78"/>
      <c r="O330" s="84"/>
      <c r="P330" s="78"/>
      <c r="Q330" s="78"/>
    </row>
    <row r="331" spans="1:17" ht="15" x14ac:dyDescent="0.25">
      <c r="A331" s="78">
        <v>324</v>
      </c>
      <c r="B331" s="85" t="s">
        <v>68</v>
      </c>
      <c r="C331" s="84" t="s">
        <v>592</v>
      </c>
      <c r="D331" s="83" t="s">
        <v>844</v>
      </c>
      <c r="E331" s="79"/>
      <c r="F331" s="84"/>
      <c r="G331" s="78" t="s">
        <v>192</v>
      </c>
      <c r="H331" s="78"/>
      <c r="I331" s="78"/>
      <c r="J331" s="78"/>
      <c r="K331" s="78"/>
      <c r="L331" s="78"/>
      <c r="M331" s="78"/>
      <c r="N331" s="78"/>
      <c r="O331" s="84" t="s">
        <v>1374</v>
      </c>
      <c r="P331" s="78"/>
      <c r="Q331" s="78"/>
    </row>
    <row r="332" spans="1:17" ht="15" x14ac:dyDescent="0.25">
      <c r="A332" s="78">
        <v>325</v>
      </c>
      <c r="B332" s="85" t="s">
        <v>68</v>
      </c>
      <c r="C332" s="84" t="s">
        <v>592</v>
      </c>
      <c r="D332" s="83" t="s">
        <v>845</v>
      </c>
      <c r="E332" s="79"/>
      <c r="F332" s="84"/>
      <c r="G332" s="78" t="s">
        <v>192</v>
      </c>
      <c r="H332" s="78"/>
      <c r="I332" s="78"/>
      <c r="J332" s="78"/>
      <c r="K332" s="78"/>
      <c r="L332" s="78"/>
      <c r="M332" s="78"/>
      <c r="N332" s="78"/>
      <c r="O332" s="84"/>
      <c r="P332" s="78"/>
      <c r="Q332" s="78"/>
    </row>
    <row r="333" spans="1:17" ht="15" x14ac:dyDescent="0.25">
      <c r="A333" s="78">
        <v>326</v>
      </c>
      <c r="B333" s="85" t="s">
        <v>68</v>
      </c>
      <c r="C333" s="84" t="s">
        <v>319</v>
      </c>
      <c r="D333" s="84" t="s">
        <v>846</v>
      </c>
      <c r="E333" s="79"/>
      <c r="F333" s="83" t="s">
        <v>320</v>
      </c>
      <c r="G333" s="78" t="s">
        <v>192</v>
      </c>
      <c r="H333" s="78"/>
      <c r="I333" s="78"/>
      <c r="J333" s="78"/>
      <c r="K333" s="78"/>
      <c r="L333" s="78"/>
      <c r="M333" s="78"/>
      <c r="N333" s="78"/>
      <c r="O333" s="84" t="s">
        <v>1375</v>
      </c>
      <c r="P333" s="78"/>
      <c r="Q333" s="78"/>
    </row>
    <row r="334" spans="1:17" ht="15" x14ac:dyDescent="0.25">
      <c r="A334" s="78">
        <v>327</v>
      </c>
      <c r="B334" s="85" t="s">
        <v>68</v>
      </c>
      <c r="C334" s="84" t="s">
        <v>319</v>
      </c>
      <c r="D334" s="84" t="s">
        <v>229</v>
      </c>
      <c r="E334" s="79"/>
      <c r="F334" s="84" t="s">
        <v>1507</v>
      </c>
      <c r="G334" s="78" t="s">
        <v>192</v>
      </c>
      <c r="H334" s="78"/>
      <c r="I334" s="78"/>
      <c r="J334" s="78"/>
      <c r="K334" s="78"/>
      <c r="L334" s="78"/>
      <c r="M334" s="78"/>
      <c r="N334" s="78"/>
      <c r="O334" s="84" t="s">
        <v>1495</v>
      </c>
      <c r="P334" s="78"/>
      <c r="Q334" s="78"/>
    </row>
    <row r="335" spans="1:17" ht="15" x14ac:dyDescent="0.25">
      <c r="A335" s="78">
        <v>328</v>
      </c>
      <c r="B335" s="85" t="s">
        <v>68</v>
      </c>
      <c r="C335" s="84" t="s">
        <v>319</v>
      </c>
      <c r="D335" s="83" t="s">
        <v>281</v>
      </c>
      <c r="E335" s="79"/>
      <c r="F335" s="84" t="s">
        <v>1505</v>
      </c>
      <c r="G335" s="78" t="s">
        <v>192</v>
      </c>
      <c r="H335" s="78"/>
      <c r="I335" s="78"/>
      <c r="J335" s="78"/>
      <c r="K335" s="78"/>
      <c r="L335" s="78"/>
      <c r="M335" s="78"/>
      <c r="N335" s="78"/>
      <c r="O335" s="84"/>
      <c r="P335" s="78"/>
      <c r="Q335" s="78"/>
    </row>
    <row r="336" spans="1:17" ht="15" x14ac:dyDescent="0.25">
      <c r="A336" s="78">
        <v>329</v>
      </c>
      <c r="B336" s="85" t="s">
        <v>68</v>
      </c>
      <c r="C336" s="84" t="s">
        <v>319</v>
      </c>
      <c r="D336" s="84" t="s">
        <v>1055</v>
      </c>
      <c r="E336" s="79"/>
      <c r="F336" s="84" t="s">
        <v>1508</v>
      </c>
      <c r="G336" s="78" t="s">
        <v>192</v>
      </c>
      <c r="H336" s="78"/>
      <c r="I336" s="78"/>
      <c r="J336" s="78"/>
      <c r="K336" s="78"/>
      <c r="L336" s="78"/>
      <c r="M336" s="78"/>
      <c r="N336" s="78"/>
      <c r="O336" s="84" t="s">
        <v>1376</v>
      </c>
      <c r="P336" s="78"/>
      <c r="Q336" s="78"/>
    </row>
    <row r="337" spans="1:17" ht="15" x14ac:dyDescent="0.25">
      <c r="A337" s="78">
        <v>330</v>
      </c>
      <c r="B337" s="85" t="s">
        <v>68</v>
      </c>
      <c r="C337" s="83" t="s">
        <v>318</v>
      </c>
      <c r="D337" s="84" t="s">
        <v>500</v>
      </c>
      <c r="E337" s="79"/>
      <c r="F337" s="83" t="s">
        <v>320</v>
      </c>
      <c r="G337" s="78" t="s">
        <v>192</v>
      </c>
      <c r="H337" s="78">
        <v>0</v>
      </c>
      <c r="I337" s="78">
        <v>0</v>
      </c>
      <c r="J337" s="78">
        <v>0</v>
      </c>
      <c r="K337" s="78" t="s">
        <v>501</v>
      </c>
      <c r="L337" s="78" t="s">
        <v>502</v>
      </c>
      <c r="M337" s="78">
        <v>44421</v>
      </c>
      <c r="N337" s="78" t="s">
        <v>505</v>
      </c>
      <c r="O337" s="84" t="s">
        <v>1496</v>
      </c>
      <c r="P337" s="78">
        <v>0</v>
      </c>
      <c r="Q337" s="78" t="s">
        <v>335</v>
      </c>
    </row>
    <row r="338" spans="1:17" ht="15" x14ac:dyDescent="0.25">
      <c r="A338" s="78">
        <v>331</v>
      </c>
      <c r="B338" s="85" t="s">
        <v>68</v>
      </c>
      <c r="C338" s="83" t="s">
        <v>318</v>
      </c>
      <c r="D338" s="83" t="s">
        <v>282</v>
      </c>
      <c r="E338" s="79"/>
      <c r="F338" s="83" t="s">
        <v>927</v>
      </c>
      <c r="G338" s="78" t="s">
        <v>192</v>
      </c>
      <c r="H338" s="78"/>
      <c r="I338" s="78"/>
      <c r="J338" s="78"/>
      <c r="K338" s="78"/>
      <c r="L338" s="78"/>
      <c r="M338" s="78"/>
      <c r="N338" s="78" t="s">
        <v>505</v>
      </c>
      <c r="O338" s="84" t="s">
        <v>1377</v>
      </c>
      <c r="P338" s="78"/>
      <c r="Q338" s="78"/>
    </row>
    <row r="339" spans="1:17" ht="15" x14ac:dyDescent="0.25">
      <c r="A339" s="78">
        <v>332</v>
      </c>
      <c r="B339" s="85" t="s">
        <v>68</v>
      </c>
      <c r="C339" s="83" t="s">
        <v>318</v>
      </c>
      <c r="D339" s="84" t="s">
        <v>1056</v>
      </c>
      <c r="E339" s="79"/>
      <c r="F339" s="84"/>
      <c r="G339" s="78" t="s">
        <v>192</v>
      </c>
      <c r="H339" s="78"/>
      <c r="I339" s="78"/>
      <c r="J339" s="78"/>
      <c r="K339" s="78"/>
      <c r="L339" s="78"/>
      <c r="M339" s="78"/>
      <c r="N339" s="78" t="s">
        <v>505</v>
      </c>
      <c r="O339" s="84" t="s">
        <v>1378</v>
      </c>
      <c r="P339" s="78"/>
      <c r="Q339" s="78"/>
    </row>
    <row r="340" spans="1:17" ht="15" x14ac:dyDescent="0.25">
      <c r="A340" s="78">
        <v>333</v>
      </c>
      <c r="B340" s="85" t="s">
        <v>68</v>
      </c>
      <c r="C340" s="83" t="s">
        <v>318</v>
      </c>
      <c r="D340" s="84" t="s">
        <v>228</v>
      </c>
      <c r="E340" s="79"/>
      <c r="F340" s="84"/>
      <c r="G340" s="78" t="s">
        <v>192</v>
      </c>
      <c r="H340" s="78"/>
      <c r="I340" s="78"/>
      <c r="J340" s="78"/>
      <c r="K340" s="78"/>
      <c r="L340" s="78"/>
      <c r="M340" s="78"/>
      <c r="N340" s="78" t="s">
        <v>505</v>
      </c>
      <c r="O340" s="90" t="s">
        <v>967</v>
      </c>
      <c r="P340" s="78"/>
      <c r="Q340" s="78"/>
    </row>
    <row r="341" spans="1:17" ht="15" x14ac:dyDescent="0.25">
      <c r="A341" s="78">
        <v>334</v>
      </c>
      <c r="B341" s="85" t="s">
        <v>68</v>
      </c>
      <c r="C341" s="83" t="s">
        <v>318</v>
      </c>
      <c r="D341" s="84" t="s">
        <v>1057</v>
      </c>
      <c r="E341" s="79"/>
      <c r="F341" s="84"/>
      <c r="G341" s="78" t="s">
        <v>192</v>
      </c>
      <c r="H341" s="78"/>
      <c r="I341" s="78"/>
      <c r="J341" s="78"/>
      <c r="K341" s="78"/>
      <c r="L341" s="78"/>
      <c r="M341" s="78"/>
      <c r="N341" s="78" t="s">
        <v>505</v>
      </c>
      <c r="O341" s="84"/>
      <c r="P341" s="78"/>
      <c r="Q341" s="78"/>
    </row>
    <row r="342" spans="1:17" ht="15" x14ac:dyDescent="0.25">
      <c r="A342" s="78">
        <v>335</v>
      </c>
      <c r="B342" s="85" t="s">
        <v>68</v>
      </c>
      <c r="C342" s="83" t="s">
        <v>318</v>
      </c>
      <c r="D342" s="84" t="s">
        <v>504</v>
      </c>
      <c r="E342" s="79"/>
      <c r="F342" s="84"/>
      <c r="G342" s="78" t="s">
        <v>192</v>
      </c>
      <c r="H342" s="78"/>
      <c r="I342" s="78"/>
      <c r="J342" s="78"/>
      <c r="K342" s="78"/>
      <c r="L342" s="78"/>
      <c r="M342" s="78"/>
      <c r="N342" s="78" t="s">
        <v>505</v>
      </c>
      <c r="O342" s="89" t="s">
        <v>978</v>
      </c>
      <c r="P342" s="78"/>
      <c r="Q342" s="78"/>
    </row>
    <row r="343" spans="1:17" ht="15" x14ac:dyDescent="0.25">
      <c r="A343" s="78">
        <v>336</v>
      </c>
      <c r="B343" s="85" t="s">
        <v>68</v>
      </c>
      <c r="C343" s="83" t="s">
        <v>318</v>
      </c>
      <c r="D343" s="84" t="s">
        <v>1058</v>
      </c>
      <c r="E343" s="79"/>
      <c r="F343" s="84"/>
      <c r="G343" s="78" t="s">
        <v>192</v>
      </c>
      <c r="H343" s="78"/>
      <c r="I343" s="78"/>
      <c r="J343" s="78"/>
      <c r="K343" s="78"/>
      <c r="L343" s="78"/>
      <c r="M343" s="78"/>
      <c r="N343" s="78" t="s">
        <v>505</v>
      </c>
      <c r="O343" s="89" t="s">
        <v>979</v>
      </c>
      <c r="P343" s="78"/>
      <c r="Q343" s="78"/>
    </row>
    <row r="344" spans="1:17" ht="15" x14ac:dyDescent="0.25">
      <c r="A344" s="78">
        <v>337</v>
      </c>
      <c r="B344" s="85" t="s">
        <v>68</v>
      </c>
      <c r="C344" s="83" t="s">
        <v>318</v>
      </c>
      <c r="D344" s="84" t="s">
        <v>1059</v>
      </c>
      <c r="E344" s="79"/>
      <c r="F344" s="84"/>
      <c r="G344" s="78" t="s">
        <v>192</v>
      </c>
      <c r="H344" s="78"/>
      <c r="I344" s="78"/>
      <c r="J344" s="78"/>
      <c r="K344" s="78"/>
      <c r="L344" s="78"/>
      <c r="M344" s="78"/>
      <c r="N344" s="78" t="s">
        <v>505</v>
      </c>
      <c r="O344" s="84" t="s">
        <v>1379</v>
      </c>
      <c r="P344" s="78"/>
      <c r="Q344" s="78"/>
    </row>
    <row r="345" spans="1:17" ht="15" x14ac:dyDescent="0.25">
      <c r="A345" s="78">
        <v>338</v>
      </c>
      <c r="B345" s="85" t="s">
        <v>68</v>
      </c>
      <c r="C345" s="83" t="s">
        <v>318</v>
      </c>
      <c r="D345" s="84" t="s">
        <v>1060</v>
      </c>
      <c r="E345" s="79"/>
      <c r="F345" s="84"/>
      <c r="G345" s="78" t="s">
        <v>192</v>
      </c>
      <c r="H345" s="78"/>
      <c r="I345" s="78"/>
      <c r="J345" s="78"/>
      <c r="K345" s="78"/>
      <c r="L345" s="78"/>
      <c r="M345" s="78"/>
      <c r="N345" s="78" t="s">
        <v>505</v>
      </c>
      <c r="O345" s="89" t="s">
        <v>977</v>
      </c>
      <c r="P345" s="78"/>
      <c r="Q345" s="78"/>
    </row>
    <row r="346" spans="1:17" ht="15" x14ac:dyDescent="0.25">
      <c r="A346" s="78">
        <v>339</v>
      </c>
      <c r="B346" s="85" t="s">
        <v>68</v>
      </c>
      <c r="C346" s="83" t="s">
        <v>318</v>
      </c>
      <c r="D346" s="84" t="s">
        <v>1061</v>
      </c>
      <c r="E346" s="79"/>
      <c r="F346" s="84"/>
      <c r="G346" s="78" t="s">
        <v>192</v>
      </c>
      <c r="H346" s="78"/>
      <c r="I346" s="78"/>
      <c r="J346" s="78"/>
      <c r="K346" s="78"/>
      <c r="L346" s="78"/>
      <c r="M346" s="78"/>
      <c r="N346" s="78" t="s">
        <v>505</v>
      </c>
      <c r="O346" s="84" t="s">
        <v>1380</v>
      </c>
      <c r="P346" s="78"/>
      <c r="Q346" s="78"/>
    </row>
    <row r="347" spans="1:17" ht="15" x14ac:dyDescent="0.25">
      <c r="A347" s="78">
        <v>340</v>
      </c>
      <c r="B347" s="85" t="s">
        <v>68</v>
      </c>
      <c r="C347" s="85" t="s">
        <v>226</v>
      </c>
      <c r="D347" s="84" t="s">
        <v>227</v>
      </c>
      <c r="E347" s="79"/>
      <c r="F347" s="83" t="s">
        <v>928</v>
      </c>
      <c r="G347" s="78" t="s">
        <v>192</v>
      </c>
      <c r="H347" s="78"/>
      <c r="I347" s="78"/>
      <c r="J347" s="78"/>
      <c r="K347" s="78"/>
      <c r="L347" s="78"/>
      <c r="M347" s="78"/>
      <c r="N347" s="78" t="s">
        <v>506</v>
      </c>
      <c r="O347" s="84" t="s">
        <v>1381</v>
      </c>
      <c r="P347" s="78"/>
      <c r="Q347" s="78"/>
    </row>
    <row r="348" spans="1:17" ht="15" x14ac:dyDescent="0.25">
      <c r="A348" s="78">
        <v>341</v>
      </c>
      <c r="B348" s="85" t="s">
        <v>68</v>
      </c>
      <c r="C348" s="85" t="s">
        <v>226</v>
      </c>
      <c r="D348" s="84" t="s">
        <v>1062</v>
      </c>
      <c r="E348" s="79"/>
      <c r="F348" s="84" t="s">
        <v>1506</v>
      </c>
      <c r="G348" s="78" t="s">
        <v>192</v>
      </c>
      <c r="H348" s="78"/>
      <c r="I348" s="78"/>
      <c r="J348" s="78"/>
      <c r="K348" s="78"/>
      <c r="L348" s="78"/>
      <c r="M348" s="78"/>
      <c r="N348" s="78" t="s">
        <v>506</v>
      </c>
      <c r="O348" s="84" t="s">
        <v>1382</v>
      </c>
      <c r="P348" s="78"/>
      <c r="Q348" s="78"/>
    </row>
    <row r="349" spans="1:17" ht="15" x14ac:dyDescent="0.25">
      <c r="A349" s="78">
        <v>342</v>
      </c>
      <c r="B349" s="85" t="s">
        <v>68</v>
      </c>
      <c r="C349" s="85" t="s">
        <v>226</v>
      </c>
      <c r="D349" s="83" t="s">
        <v>847</v>
      </c>
      <c r="E349" s="79"/>
      <c r="F349" s="84" t="s">
        <v>1505</v>
      </c>
      <c r="G349" s="78" t="s">
        <v>192</v>
      </c>
      <c r="H349" s="78"/>
      <c r="I349" s="78"/>
      <c r="J349" s="78"/>
      <c r="K349" s="78"/>
      <c r="L349" s="78"/>
      <c r="M349" s="78"/>
      <c r="N349" s="78" t="s">
        <v>506</v>
      </c>
      <c r="O349" s="84"/>
      <c r="P349" s="78"/>
      <c r="Q349" s="78"/>
    </row>
    <row r="350" spans="1:17" ht="15" x14ac:dyDescent="0.25">
      <c r="A350" s="78">
        <v>343</v>
      </c>
      <c r="B350" s="85" t="s">
        <v>68</v>
      </c>
      <c r="C350" s="85" t="s">
        <v>195</v>
      </c>
      <c r="D350" s="84" t="s">
        <v>70</v>
      </c>
      <c r="E350" s="79"/>
      <c r="F350" s="83" t="s">
        <v>323</v>
      </c>
      <c r="G350" s="78" t="s">
        <v>1510</v>
      </c>
      <c r="H350" s="78">
        <v>194188053</v>
      </c>
      <c r="I350" s="78" t="s">
        <v>1511</v>
      </c>
      <c r="J350" s="78" t="s">
        <v>204</v>
      </c>
      <c r="K350" s="78" t="s">
        <v>205</v>
      </c>
      <c r="L350" s="78" t="s">
        <v>499</v>
      </c>
      <c r="M350" s="101">
        <v>43778</v>
      </c>
      <c r="N350" s="78" t="s">
        <v>196</v>
      </c>
      <c r="O350" s="84" t="s">
        <v>1512</v>
      </c>
      <c r="P350" s="78" t="s">
        <v>206</v>
      </c>
      <c r="Q350" s="78" t="s">
        <v>286</v>
      </c>
    </row>
    <row r="351" spans="1:17" ht="15" x14ac:dyDescent="0.25">
      <c r="A351" s="78">
        <v>344</v>
      </c>
      <c r="B351" s="85" t="s">
        <v>68</v>
      </c>
      <c r="C351" s="85" t="s">
        <v>195</v>
      </c>
      <c r="D351" s="84" t="s">
        <v>207</v>
      </c>
      <c r="E351" s="79"/>
      <c r="F351" s="83" t="s">
        <v>918</v>
      </c>
      <c r="G351" s="78" t="s">
        <v>1516</v>
      </c>
      <c r="H351" s="78">
        <v>40087031459</v>
      </c>
      <c r="I351" s="78" t="s">
        <v>1513</v>
      </c>
      <c r="J351" s="78" t="s">
        <v>208</v>
      </c>
      <c r="K351" s="78" t="s">
        <v>209</v>
      </c>
      <c r="L351" s="78" t="s">
        <v>210</v>
      </c>
      <c r="M351" s="78" t="s">
        <v>1514</v>
      </c>
      <c r="N351" s="78" t="s">
        <v>196</v>
      </c>
      <c r="O351" s="84" t="s">
        <v>1515</v>
      </c>
      <c r="P351" s="78" t="s">
        <v>211</v>
      </c>
      <c r="Q351" s="78" t="s">
        <v>286</v>
      </c>
    </row>
    <row r="352" spans="1:17" ht="15" x14ac:dyDescent="0.25">
      <c r="A352" s="78">
        <v>345</v>
      </c>
      <c r="B352" s="85" t="s">
        <v>68</v>
      </c>
      <c r="C352" s="85" t="s">
        <v>195</v>
      </c>
      <c r="D352" s="83" t="s">
        <v>201</v>
      </c>
      <c r="E352" s="79"/>
      <c r="F352" s="84" t="s">
        <v>1502</v>
      </c>
      <c r="G352" s="78" t="s">
        <v>1516</v>
      </c>
      <c r="H352" s="78">
        <v>16004445</v>
      </c>
      <c r="I352" s="78" t="s">
        <v>1519</v>
      </c>
      <c r="J352" s="78" t="s">
        <v>193</v>
      </c>
      <c r="K352" s="78" t="s">
        <v>202</v>
      </c>
      <c r="L352" s="78" t="s">
        <v>499</v>
      </c>
      <c r="M352" s="101">
        <v>43778</v>
      </c>
      <c r="N352" s="78" t="s">
        <v>196</v>
      </c>
      <c r="O352" s="84" t="s">
        <v>1520</v>
      </c>
      <c r="P352" s="78" t="s">
        <v>203</v>
      </c>
      <c r="Q352" s="78" t="s">
        <v>286</v>
      </c>
    </row>
    <row r="353" spans="1:17" ht="15" x14ac:dyDescent="0.25">
      <c r="A353" s="78">
        <v>346</v>
      </c>
      <c r="B353" s="85" t="s">
        <v>68</v>
      </c>
      <c r="C353" s="85" t="s">
        <v>195</v>
      </c>
      <c r="D353" s="84" t="s">
        <v>198</v>
      </c>
      <c r="E353" s="79"/>
      <c r="F353" s="84" t="s">
        <v>1502</v>
      </c>
      <c r="G353" s="78" t="s">
        <v>192</v>
      </c>
      <c r="H353" s="78">
        <v>13063520</v>
      </c>
      <c r="I353" s="78">
        <v>41927</v>
      </c>
      <c r="J353" s="78" t="s">
        <v>193</v>
      </c>
      <c r="K353" s="78" t="s">
        <v>199</v>
      </c>
      <c r="L353" s="78" t="s">
        <v>499</v>
      </c>
      <c r="M353" s="78">
        <v>43719</v>
      </c>
      <c r="N353" s="78" t="s">
        <v>196</v>
      </c>
      <c r="O353" s="84" t="s">
        <v>1383</v>
      </c>
      <c r="P353" s="78" t="s">
        <v>200</v>
      </c>
      <c r="Q353" s="78" t="s">
        <v>286</v>
      </c>
    </row>
    <row r="354" spans="1:17" ht="15" x14ac:dyDescent="0.25">
      <c r="A354" s="78">
        <v>347</v>
      </c>
      <c r="B354" s="85" t="s">
        <v>68</v>
      </c>
      <c r="C354" s="85" t="s">
        <v>195</v>
      </c>
      <c r="D354" s="84" t="s">
        <v>217</v>
      </c>
      <c r="E354" s="79"/>
      <c r="F354" s="84" t="s">
        <v>1502</v>
      </c>
      <c r="G354" s="78" t="s">
        <v>192</v>
      </c>
      <c r="H354" s="78">
        <v>52192017552</v>
      </c>
      <c r="I354" s="78">
        <v>44889</v>
      </c>
      <c r="J354" s="78" t="s">
        <v>208</v>
      </c>
      <c r="K354" s="78" t="s">
        <v>218</v>
      </c>
      <c r="L354" s="78" t="s">
        <v>210</v>
      </c>
      <c r="M354" s="78">
        <v>44788</v>
      </c>
      <c r="N354" s="78" t="s">
        <v>196</v>
      </c>
      <c r="O354" s="84" t="s">
        <v>1384</v>
      </c>
      <c r="P354" s="78" t="s">
        <v>219</v>
      </c>
      <c r="Q354" s="78" t="s">
        <v>286</v>
      </c>
    </row>
    <row r="355" spans="1:17" ht="15" x14ac:dyDescent="0.25">
      <c r="A355" s="78">
        <v>348</v>
      </c>
      <c r="B355" s="85" t="s">
        <v>68</v>
      </c>
      <c r="C355" s="85" t="s">
        <v>195</v>
      </c>
      <c r="D355" s="84" t="s">
        <v>220</v>
      </c>
      <c r="E355" s="79"/>
      <c r="F355" s="84" t="s">
        <v>1502</v>
      </c>
      <c r="G355" s="78" t="s">
        <v>192</v>
      </c>
      <c r="H355" s="78" t="s">
        <v>221</v>
      </c>
      <c r="I355" s="78">
        <v>44557</v>
      </c>
      <c r="J355" s="78" t="s">
        <v>208</v>
      </c>
      <c r="K355" s="78" t="s">
        <v>482</v>
      </c>
      <c r="L355" s="78" t="s">
        <v>499</v>
      </c>
      <c r="M355" s="78">
        <v>44148</v>
      </c>
      <c r="N355" s="78" t="s">
        <v>196</v>
      </c>
      <c r="O355" s="84" t="s">
        <v>1385</v>
      </c>
      <c r="P355" s="78" t="s">
        <v>222</v>
      </c>
      <c r="Q355" s="78" t="s">
        <v>286</v>
      </c>
    </row>
    <row r="356" spans="1:17" ht="15" x14ac:dyDescent="0.25">
      <c r="A356" s="78">
        <v>349</v>
      </c>
      <c r="B356" s="85" t="s">
        <v>68</v>
      </c>
      <c r="C356" s="85" t="s">
        <v>195</v>
      </c>
      <c r="D356" s="84" t="s">
        <v>71</v>
      </c>
      <c r="E356" s="79"/>
      <c r="F356" s="84" t="s">
        <v>1502</v>
      </c>
      <c r="G356" s="78" t="s">
        <v>192</v>
      </c>
      <c r="H356" s="78">
        <v>14050523</v>
      </c>
      <c r="I356" s="78">
        <v>43539</v>
      </c>
      <c r="J356" s="78" t="s">
        <v>193</v>
      </c>
      <c r="K356" s="78" t="s">
        <v>212</v>
      </c>
      <c r="L356" s="78" t="s">
        <v>499</v>
      </c>
      <c r="M356" s="78">
        <v>43719</v>
      </c>
      <c r="N356" s="78" t="s">
        <v>196</v>
      </c>
      <c r="O356" s="84" t="s">
        <v>1386</v>
      </c>
      <c r="P356" s="78" t="s">
        <v>213</v>
      </c>
      <c r="Q356" s="78" t="s">
        <v>286</v>
      </c>
    </row>
    <row r="357" spans="1:17" ht="15" x14ac:dyDescent="0.25">
      <c r="A357" s="78">
        <v>350</v>
      </c>
      <c r="B357" s="85" t="s">
        <v>68</v>
      </c>
      <c r="C357" s="85" t="s">
        <v>195</v>
      </c>
      <c r="D357" s="84" t="s">
        <v>191</v>
      </c>
      <c r="E357" s="79"/>
      <c r="F357" s="84" t="s">
        <v>1502</v>
      </c>
      <c r="G357" s="78" t="s">
        <v>192</v>
      </c>
      <c r="H357" s="78">
        <v>97041155</v>
      </c>
      <c r="I357" s="78">
        <v>44089</v>
      </c>
      <c r="J357" s="78" t="s">
        <v>193</v>
      </c>
      <c r="K357" s="78" t="s">
        <v>194</v>
      </c>
      <c r="L357" s="78" t="s">
        <v>503</v>
      </c>
      <c r="M357" s="78">
        <v>40200</v>
      </c>
      <c r="N357" s="78" t="s">
        <v>196</v>
      </c>
      <c r="O357" s="84" t="s">
        <v>1387</v>
      </c>
      <c r="P357" s="78" t="s">
        <v>197</v>
      </c>
      <c r="Q357" s="78" t="s">
        <v>286</v>
      </c>
    </row>
    <row r="358" spans="1:17" ht="15" x14ac:dyDescent="0.25">
      <c r="A358" s="78">
        <v>351</v>
      </c>
      <c r="B358" s="85" t="s">
        <v>68</v>
      </c>
      <c r="C358" s="85" t="s">
        <v>195</v>
      </c>
      <c r="D358" s="84" t="s">
        <v>67</v>
      </c>
      <c r="E358" s="79"/>
      <c r="F358" s="84" t="s">
        <v>1502</v>
      </c>
      <c r="G358" s="78" t="s">
        <v>192</v>
      </c>
      <c r="H358" s="78" t="s">
        <v>214</v>
      </c>
      <c r="I358" s="78">
        <v>43811</v>
      </c>
      <c r="J358" s="78" t="s">
        <v>208</v>
      </c>
      <c r="K358" s="78" t="s">
        <v>215</v>
      </c>
      <c r="L358" s="78" t="s">
        <v>210</v>
      </c>
      <c r="M358" s="78">
        <v>44788</v>
      </c>
      <c r="N358" s="78" t="s">
        <v>196</v>
      </c>
      <c r="O358" s="84" t="s">
        <v>1388</v>
      </c>
      <c r="P358" s="78" t="s">
        <v>216</v>
      </c>
      <c r="Q358" s="78" t="s">
        <v>286</v>
      </c>
    </row>
    <row r="359" spans="1:17" ht="15" x14ac:dyDescent="0.25">
      <c r="A359" s="78">
        <v>352</v>
      </c>
      <c r="B359" s="85" t="s">
        <v>68</v>
      </c>
      <c r="C359" s="85" t="s">
        <v>408</v>
      </c>
      <c r="D359" s="84" t="s">
        <v>409</v>
      </c>
      <c r="E359" s="79"/>
      <c r="F359" s="83" t="s">
        <v>323</v>
      </c>
      <c r="G359" s="78" t="s">
        <v>192</v>
      </c>
      <c r="H359" s="78"/>
      <c r="I359" s="78"/>
      <c r="J359" s="78"/>
      <c r="K359" s="78"/>
      <c r="L359" s="78"/>
      <c r="M359" s="78"/>
      <c r="N359" s="78"/>
      <c r="O359" s="84" t="s">
        <v>1517</v>
      </c>
      <c r="P359" s="78" t="s">
        <v>1518</v>
      </c>
      <c r="Q359" s="78"/>
    </row>
    <row r="360" spans="1:17" ht="15" x14ac:dyDescent="0.25">
      <c r="A360" s="78">
        <v>353</v>
      </c>
      <c r="B360" s="85" t="s">
        <v>68</v>
      </c>
      <c r="C360" s="85" t="s">
        <v>408</v>
      </c>
      <c r="D360" s="83" t="s">
        <v>848</v>
      </c>
      <c r="E360" s="79"/>
      <c r="F360" s="84" t="s">
        <v>1502</v>
      </c>
      <c r="G360" s="78" t="s">
        <v>192</v>
      </c>
      <c r="H360" s="78"/>
      <c r="I360" s="78"/>
      <c r="J360" s="78"/>
      <c r="K360" s="78"/>
      <c r="L360" s="78"/>
      <c r="M360" s="78"/>
      <c r="N360" s="78"/>
      <c r="O360" s="84" t="s">
        <v>1389</v>
      </c>
      <c r="P360" s="78"/>
      <c r="Q360" s="78"/>
    </row>
    <row r="361" spans="1:17" ht="15" x14ac:dyDescent="0.25">
      <c r="A361" s="78">
        <v>354</v>
      </c>
      <c r="B361" s="85" t="s">
        <v>68</v>
      </c>
      <c r="C361" s="85" t="s">
        <v>408</v>
      </c>
      <c r="D361" s="83" t="s">
        <v>849</v>
      </c>
      <c r="E361" s="79"/>
      <c r="F361" s="84" t="s">
        <v>1502</v>
      </c>
      <c r="G361" s="78" t="s">
        <v>192</v>
      </c>
      <c r="H361" s="78"/>
      <c r="I361" s="78"/>
      <c r="J361" s="78"/>
      <c r="K361" s="78"/>
      <c r="L361" s="78"/>
      <c r="M361" s="78"/>
      <c r="N361" s="78"/>
      <c r="O361" s="84" t="s">
        <v>1390</v>
      </c>
      <c r="P361" s="78"/>
      <c r="Q361" s="78"/>
    </row>
    <row r="362" spans="1:17" ht="15" x14ac:dyDescent="0.25">
      <c r="A362" s="78">
        <v>355</v>
      </c>
      <c r="B362" s="85" t="s">
        <v>68</v>
      </c>
      <c r="C362" s="85" t="s">
        <v>408</v>
      </c>
      <c r="D362" s="84" t="s">
        <v>1542</v>
      </c>
      <c r="E362" s="79"/>
      <c r="F362" s="84" t="s">
        <v>1502</v>
      </c>
      <c r="G362" s="78" t="s">
        <v>192</v>
      </c>
      <c r="H362" s="78"/>
      <c r="I362" s="78"/>
      <c r="J362" s="78"/>
      <c r="K362" s="78"/>
      <c r="L362" s="78"/>
      <c r="M362" s="78"/>
      <c r="N362" s="78"/>
      <c r="O362" s="84" t="s">
        <v>1391</v>
      </c>
      <c r="P362" s="78"/>
      <c r="Q362" s="78"/>
    </row>
    <row r="363" spans="1:17" ht="15" x14ac:dyDescent="0.25">
      <c r="A363" s="78">
        <v>356</v>
      </c>
      <c r="B363" s="85" t="s">
        <v>68</v>
      </c>
      <c r="C363" s="85" t="s">
        <v>408</v>
      </c>
      <c r="D363" s="83" t="s">
        <v>850</v>
      </c>
      <c r="E363" s="79"/>
      <c r="F363" s="84" t="s">
        <v>1502</v>
      </c>
      <c r="G363" s="78" t="s">
        <v>192</v>
      </c>
      <c r="H363" s="78"/>
      <c r="I363" s="78"/>
      <c r="J363" s="78"/>
      <c r="K363" s="78"/>
      <c r="L363" s="78"/>
      <c r="M363" s="78"/>
      <c r="N363" s="78"/>
      <c r="O363" s="84" t="s">
        <v>1392</v>
      </c>
      <c r="P363" s="78"/>
      <c r="Q363" s="78"/>
    </row>
    <row r="364" spans="1:17" ht="15" x14ac:dyDescent="0.25">
      <c r="A364" s="78">
        <v>357</v>
      </c>
      <c r="B364" s="85" t="s">
        <v>68</v>
      </c>
      <c r="C364" s="85" t="s">
        <v>408</v>
      </c>
      <c r="D364" s="84" t="s">
        <v>851</v>
      </c>
      <c r="E364" s="79"/>
      <c r="F364" s="84" t="s">
        <v>1502</v>
      </c>
      <c r="G364" s="78" t="s">
        <v>192</v>
      </c>
      <c r="H364" s="78"/>
      <c r="I364" s="78"/>
      <c r="J364" s="78"/>
      <c r="K364" s="78"/>
      <c r="L364" s="78"/>
      <c r="M364" s="78"/>
      <c r="N364" s="78"/>
      <c r="O364" s="84" t="s">
        <v>1393</v>
      </c>
      <c r="P364" s="78"/>
      <c r="Q364" s="78"/>
    </row>
    <row r="365" spans="1:17" ht="15" x14ac:dyDescent="0.25">
      <c r="A365" s="78">
        <v>358</v>
      </c>
      <c r="B365" s="85" t="s">
        <v>68</v>
      </c>
      <c r="C365" s="85" t="s">
        <v>408</v>
      </c>
      <c r="D365" s="83" t="s">
        <v>852</v>
      </c>
      <c r="E365" s="79"/>
      <c r="F365" s="84" t="s">
        <v>1502</v>
      </c>
      <c r="G365" s="78" t="s">
        <v>192</v>
      </c>
      <c r="H365" s="78"/>
      <c r="I365" s="78"/>
      <c r="J365" s="78"/>
      <c r="K365" s="78"/>
      <c r="L365" s="78"/>
      <c r="M365" s="78"/>
      <c r="N365" s="78"/>
      <c r="O365" s="84" t="s">
        <v>1394</v>
      </c>
      <c r="P365" s="78"/>
      <c r="Q365" s="78"/>
    </row>
    <row r="366" spans="1:17" ht="15" x14ac:dyDescent="0.25">
      <c r="A366" s="78">
        <v>359</v>
      </c>
      <c r="B366" s="85" t="s">
        <v>68</v>
      </c>
      <c r="C366" s="85" t="s">
        <v>405</v>
      </c>
      <c r="D366" s="84" t="s">
        <v>406</v>
      </c>
      <c r="E366" s="79"/>
      <c r="F366" s="83" t="s">
        <v>323</v>
      </c>
      <c r="G366" s="78" t="s">
        <v>192</v>
      </c>
      <c r="H366" s="78"/>
      <c r="I366" s="78"/>
      <c r="J366" s="78"/>
      <c r="K366" s="78"/>
      <c r="L366" s="78"/>
      <c r="M366" s="78"/>
      <c r="N366" s="78"/>
      <c r="O366" s="84" t="s">
        <v>1395</v>
      </c>
      <c r="P366" s="78"/>
      <c r="Q366" s="78"/>
    </row>
    <row r="367" spans="1:17" ht="15" x14ac:dyDescent="0.25">
      <c r="A367" s="78">
        <v>360</v>
      </c>
      <c r="B367" s="85" t="s">
        <v>68</v>
      </c>
      <c r="C367" s="85" t="s">
        <v>405</v>
      </c>
      <c r="D367" s="83" t="s">
        <v>853</v>
      </c>
      <c r="E367" s="79"/>
      <c r="F367" s="84" t="s">
        <v>1502</v>
      </c>
      <c r="G367" s="78" t="s">
        <v>192</v>
      </c>
      <c r="H367" s="78"/>
      <c r="I367" s="78"/>
      <c r="J367" s="78"/>
      <c r="K367" s="78"/>
      <c r="L367" s="78"/>
      <c r="M367" s="78"/>
      <c r="N367" s="78"/>
      <c r="O367" s="84" t="s">
        <v>1396</v>
      </c>
      <c r="P367" s="78"/>
      <c r="Q367" s="78"/>
    </row>
    <row r="368" spans="1:17" ht="15" x14ac:dyDescent="0.25">
      <c r="A368" s="78">
        <v>361</v>
      </c>
      <c r="B368" s="85" t="s">
        <v>68</v>
      </c>
      <c r="C368" s="85" t="s">
        <v>405</v>
      </c>
      <c r="D368" s="83" t="s">
        <v>854</v>
      </c>
      <c r="E368" s="79"/>
      <c r="F368" s="84" t="s">
        <v>1502</v>
      </c>
      <c r="G368" s="78" t="s">
        <v>192</v>
      </c>
      <c r="H368" s="78"/>
      <c r="I368" s="78"/>
      <c r="J368" s="78"/>
      <c r="K368" s="78"/>
      <c r="L368" s="78"/>
      <c r="M368" s="78"/>
      <c r="N368" s="78"/>
      <c r="O368" s="84" t="s">
        <v>1397</v>
      </c>
      <c r="P368" s="78"/>
      <c r="Q368" s="78"/>
    </row>
    <row r="369" spans="1:17" ht="15" x14ac:dyDescent="0.25">
      <c r="A369" s="78">
        <v>362</v>
      </c>
      <c r="B369" s="85" t="s">
        <v>68</v>
      </c>
      <c r="C369" s="85" t="s">
        <v>405</v>
      </c>
      <c r="D369" s="83" t="s">
        <v>855</v>
      </c>
      <c r="E369" s="79"/>
      <c r="F369" s="84" t="s">
        <v>1502</v>
      </c>
      <c r="G369" s="78" t="s">
        <v>192</v>
      </c>
      <c r="H369" s="78"/>
      <c r="I369" s="78"/>
      <c r="J369" s="78"/>
      <c r="K369" s="78"/>
      <c r="L369" s="78"/>
      <c r="M369" s="78"/>
      <c r="N369" s="78"/>
      <c r="O369" s="84" t="s">
        <v>1398</v>
      </c>
      <c r="P369" s="78"/>
      <c r="Q369" s="78"/>
    </row>
    <row r="370" spans="1:17" ht="15" x14ac:dyDescent="0.25">
      <c r="A370" s="78">
        <v>363</v>
      </c>
      <c r="B370" s="85" t="s">
        <v>68</v>
      </c>
      <c r="C370" s="85" t="s">
        <v>405</v>
      </c>
      <c r="D370" s="84" t="s">
        <v>856</v>
      </c>
      <c r="E370" s="79"/>
      <c r="F370" s="84" t="s">
        <v>1502</v>
      </c>
      <c r="G370" s="78" t="s">
        <v>192</v>
      </c>
      <c r="H370" s="78"/>
      <c r="I370" s="78"/>
      <c r="J370" s="78"/>
      <c r="K370" s="78"/>
      <c r="L370" s="78"/>
      <c r="M370" s="78"/>
      <c r="N370" s="78"/>
      <c r="O370" s="84" t="s">
        <v>1399</v>
      </c>
      <c r="P370" s="78"/>
      <c r="Q370" s="78"/>
    </row>
    <row r="371" spans="1:17" ht="15" x14ac:dyDescent="0.25">
      <c r="A371" s="78">
        <v>364</v>
      </c>
      <c r="B371" s="85" t="s">
        <v>68</v>
      </c>
      <c r="C371" s="85" t="s">
        <v>405</v>
      </c>
      <c r="D371" s="83" t="s">
        <v>857</v>
      </c>
      <c r="E371" s="79"/>
      <c r="F371" s="84" t="s">
        <v>1502</v>
      </c>
      <c r="G371" s="78" t="s">
        <v>192</v>
      </c>
      <c r="H371" s="78"/>
      <c r="I371" s="78"/>
      <c r="J371" s="78"/>
      <c r="K371" s="78"/>
      <c r="L371" s="78"/>
      <c r="M371" s="78"/>
      <c r="N371" s="78"/>
      <c r="O371" s="84"/>
      <c r="P371" s="78"/>
      <c r="Q371" s="78"/>
    </row>
    <row r="372" spans="1:17" ht="15" x14ac:dyDescent="0.25">
      <c r="A372" s="78">
        <v>365</v>
      </c>
      <c r="B372" s="85" t="s">
        <v>68</v>
      </c>
      <c r="C372" s="85" t="s">
        <v>402</v>
      </c>
      <c r="D372" s="84" t="s">
        <v>403</v>
      </c>
      <c r="E372" s="79"/>
      <c r="F372" s="83" t="s">
        <v>323</v>
      </c>
      <c r="G372" s="78" t="s">
        <v>192</v>
      </c>
      <c r="H372" s="78"/>
      <c r="I372" s="78"/>
      <c r="J372" s="78"/>
      <c r="K372" s="78"/>
      <c r="L372" s="78"/>
      <c r="M372" s="78"/>
      <c r="N372" s="78"/>
      <c r="O372" s="84" t="s">
        <v>1400</v>
      </c>
      <c r="P372" s="78"/>
      <c r="Q372" s="78"/>
    </row>
    <row r="373" spans="1:17" ht="15" x14ac:dyDescent="0.25">
      <c r="A373" s="78">
        <v>366</v>
      </c>
      <c r="B373" s="85" t="s">
        <v>68</v>
      </c>
      <c r="C373" s="85" t="s">
        <v>402</v>
      </c>
      <c r="D373" s="84" t="s">
        <v>858</v>
      </c>
      <c r="E373" s="79"/>
      <c r="F373" s="84" t="s">
        <v>1502</v>
      </c>
      <c r="G373" s="78" t="s">
        <v>192</v>
      </c>
      <c r="H373" s="78"/>
      <c r="I373" s="78"/>
      <c r="J373" s="78"/>
      <c r="K373" s="78"/>
      <c r="L373" s="78"/>
      <c r="M373" s="78"/>
      <c r="N373" s="78"/>
      <c r="O373" s="84" t="s">
        <v>1401</v>
      </c>
      <c r="P373" s="78"/>
      <c r="Q373" s="78"/>
    </row>
    <row r="374" spans="1:17" ht="15" x14ac:dyDescent="0.25">
      <c r="A374" s="78">
        <v>367</v>
      </c>
      <c r="B374" s="85" t="s">
        <v>68</v>
      </c>
      <c r="C374" s="85" t="s">
        <v>402</v>
      </c>
      <c r="D374" s="84" t="s">
        <v>859</v>
      </c>
      <c r="E374" s="79"/>
      <c r="F374" s="84" t="s">
        <v>1502</v>
      </c>
      <c r="G374" s="78" t="s">
        <v>192</v>
      </c>
      <c r="H374" s="78"/>
      <c r="I374" s="78"/>
      <c r="J374" s="78"/>
      <c r="K374" s="78"/>
      <c r="L374" s="78"/>
      <c r="M374" s="78"/>
      <c r="N374" s="78"/>
      <c r="O374" s="84" t="s">
        <v>1402</v>
      </c>
      <c r="P374" s="78"/>
      <c r="Q374" s="78"/>
    </row>
    <row r="375" spans="1:17" ht="15" x14ac:dyDescent="0.25">
      <c r="A375" s="78">
        <v>368</v>
      </c>
      <c r="B375" s="85" t="s">
        <v>68</v>
      </c>
      <c r="C375" s="85" t="s">
        <v>402</v>
      </c>
      <c r="D375" s="84" t="s">
        <v>860</v>
      </c>
      <c r="E375" s="79"/>
      <c r="F375" s="84" t="s">
        <v>1502</v>
      </c>
      <c r="G375" s="78" t="s">
        <v>192</v>
      </c>
      <c r="H375" s="78"/>
      <c r="I375" s="78"/>
      <c r="J375" s="78"/>
      <c r="K375" s="78"/>
      <c r="L375" s="78"/>
      <c r="M375" s="78"/>
      <c r="N375" s="78"/>
      <c r="O375" s="84" t="s">
        <v>1403</v>
      </c>
      <c r="P375" s="78"/>
      <c r="Q375" s="78"/>
    </row>
    <row r="376" spans="1:17" ht="15" x14ac:dyDescent="0.25">
      <c r="A376" s="78">
        <v>369</v>
      </c>
      <c r="B376" s="85" t="s">
        <v>68</v>
      </c>
      <c r="C376" s="85" t="s">
        <v>402</v>
      </c>
      <c r="D376" s="84" t="s">
        <v>861</v>
      </c>
      <c r="E376" s="79"/>
      <c r="F376" s="84" t="s">
        <v>1502</v>
      </c>
      <c r="G376" s="78" t="s">
        <v>192</v>
      </c>
      <c r="H376" s="78"/>
      <c r="I376" s="78"/>
      <c r="J376" s="78"/>
      <c r="K376" s="78"/>
      <c r="L376" s="78"/>
      <c r="M376" s="78"/>
      <c r="N376" s="78"/>
      <c r="O376" s="84" t="s">
        <v>1404</v>
      </c>
      <c r="P376" s="78"/>
      <c r="Q376" s="78"/>
    </row>
    <row r="377" spans="1:17" ht="15" x14ac:dyDescent="0.25">
      <c r="A377" s="78">
        <v>370</v>
      </c>
      <c r="B377" s="85" t="s">
        <v>68</v>
      </c>
      <c r="C377" s="85" t="s">
        <v>593</v>
      </c>
      <c r="D377" s="84" t="s">
        <v>1063</v>
      </c>
      <c r="E377" s="79"/>
      <c r="F377" s="83" t="s">
        <v>230</v>
      </c>
      <c r="G377" s="78" t="s">
        <v>192</v>
      </c>
      <c r="H377" s="78"/>
      <c r="I377" s="78"/>
      <c r="J377" s="78"/>
      <c r="K377" s="78"/>
      <c r="L377" s="78"/>
      <c r="M377" s="78"/>
      <c r="N377" s="78"/>
      <c r="O377" s="84" t="s">
        <v>1405</v>
      </c>
      <c r="P377" s="78"/>
      <c r="Q377" s="78"/>
    </row>
    <row r="378" spans="1:17" ht="15" x14ac:dyDescent="0.25">
      <c r="A378" s="78">
        <v>371</v>
      </c>
      <c r="B378" s="85" t="s">
        <v>68</v>
      </c>
      <c r="C378" s="85" t="s">
        <v>593</v>
      </c>
      <c r="D378" s="84" t="s">
        <v>1064</v>
      </c>
      <c r="E378" s="79"/>
      <c r="F378" s="84"/>
      <c r="G378" s="78" t="s">
        <v>192</v>
      </c>
      <c r="H378" s="78"/>
      <c r="I378" s="78"/>
      <c r="J378" s="78"/>
      <c r="K378" s="78"/>
      <c r="L378" s="78"/>
      <c r="M378" s="78"/>
      <c r="N378" s="78"/>
      <c r="O378" s="89" t="s">
        <v>974</v>
      </c>
      <c r="P378" s="78"/>
      <c r="Q378" s="78"/>
    </row>
    <row r="379" spans="1:17" ht="15" x14ac:dyDescent="0.25">
      <c r="A379" s="78">
        <v>372</v>
      </c>
      <c r="B379" s="85" t="s">
        <v>68</v>
      </c>
      <c r="C379" s="85" t="s">
        <v>593</v>
      </c>
      <c r="D379" s="84" t="s">
        <v>1065</v>
      </c>
      <c r="E379" s="79"/>
      <c r="F379" s="84"/>
      <c r="G379" s="78" t="s">
        <v>192</v>
      </c>
      <c r="H379" s="78"/>
      <c r="I379" s="78"/>
      <c r="J379" s="78"/>
      <c r="K379" s="78"/>
      <c r="L379" s="78"/>
      <c r="M379" s="78"/>
      <c r="N379" s="78"/>
      <c r="O379" s="89" t="s">
        <v>975</v>
      </c>
      <c r="P379" s="78"/>
      <c r="Q379" s="78"/>
    </row>
    <row r="380" spans="1:17" ht="15" x14ac:dyDescent="0.25">
      <c r="A380" s="78">
        <v>373</v>
      </c>
      <c r="B380" s="85" t="s">
        <v>68</v>
      </c>
      <c r="C380" s="85" t="s">
        <v>593</v>
      </c>
      <c r="D380" s="84" t="s">
        <v>1066</v>
      </c>
      <c r="E380" s="79"/>
      <c r="F380" s="84"/>
      <c r="G380" s="78" t="s">
        <v>192</v>
      </c>
      <c r="H380" s="78"/>
      <c r="I380" s="78"/>
      <c r="J380" s="78"/>
      <c r="K380" s="78"/>
      <c r="L380" s="78"/>
      <c r="M380" s="78"/>
      <c r="N380" s="78"/>
      <c r="O380" s="89" t="s">
        <v>976</v>
      </c>
      <c r="P380" s="78"/>
      <c r="Q380" s="78"/>
    </row>
    <row r="381" spans="1:17" ht="15" x14ac:dyDescent="0.25">
      <c r="A381" s="78">
        <v>374</v>
      </c>
      <c r="B381" s="85" t="s">
        <v>68</v>
      </c>
      <c r="C381" s="85" t="s">
        <v>593</v>
      </c>
      <c r="D381" s="84" t="s">
        <v>1067</v>
      </c>
      <c r="E381" s="79"/>
      <c r="F381" s="84" t="s">
        <v>1502</v>
      </c>
      <c r="G381" s="78" t="s">
        <v>192</v>
      </c>
      <c r="H381" s="78"/>
      <c r="I381" s="78"/>
      <c r="J381" s="78"/>
      <c r="K381" s="78"/>
      <c r="L381" s="78"/>
      <c r="M381" s="78"/>
      <c r="N381" s="78"/>
      <c r="O381" s="84" t="s">
        <v>1406</v>
      </c>
      <c r="P381" s="78"/>
      <c r="Q381" s="78"/>
    </row>
    <row r="382" spans="1:17" ht="15" x14ac:dyDescent="0.25">
      <c r="A382" s="78">
        <v>375</v>
      </c>
      <c r="B382" s="85" t="s">
        <v>68</v>
      </c>
      <c r="C382" s="85" t="s">
        <v>400</v>
      </c>
      <c r="D382" s="84" t="s">
        <v>401</v>
      </c>
      <c r="E382" s="79"/>
      <c r="F382" s="83" t="s">
        <v>323</v>
      </c>
      <c r="G382" s="78" t="s">
        <v>192</v>
      </c>
      <c r="H382" s="78"/>
      <c r="I382" s="78"/>
      <c r="J382" s="78"/>
      <c r="K382" s="78"/>
      <c r="L382" s="78"/>
      <c r="M382" s="78"/>
      <c r="N382" s="78"/>
      <c r="O382" s="84" t="s">
        <v>1407</v>
      </c>
      <c r="P382" s="78"/>
      <c r="Q382" s="78"/>
    </row>
    <row r="383" spans="1:17" ht="15" x14ac:dyDescent="0.25">
      <c r="A383" s="78">
        <v>376</v>
      </c>
      <c r="B383" s="85" t="s">
        <v>68</v>
      </c>
      <c r="C383" s="85" t="s">
        <v>400</v>
      </c>
      <c r="D383" s="84" t="s">
        <v>224</v>
      </c>
      <c r="E383" s="79"/>
      <c r="F383" s="83" t="s">
        <v>918</v>
      </c>
      <c r="G383" s="78" t="s">
        <v>192</v>
      </c>
      <c r="H383" s="78"/>
      <c r="I383" s="78"/>
      <c r="J383" s="78"/>
      <c r="K383" s="78"/>
      <c r="L383" s="78"/>
      <c r="M383" s="78"/>
      <c r="N383" s="78"/>
      <c r="O383" s="84" t="s">
        <v>1408</v>
      </c>
      <c r="P383" s="78"/>
      <c r="Q383" s="78"/>
    </row>
    <row r="384" spans="1:17" ht="15" x14ac:dyDescent="0.25">
      <c r="A384" s="78">
        <v>377</v>
      </c>
      <c r="B384" s="85" t="s">
        <v>68</v>
      </c>
      <c r="C384" s="85" t="s">
        <v>400</v>
      </c>
      <c r="D384" s="84" t="s">
        <v>507</v>
      </c>
      <c r="E384" s="79"/>
      <c r="F384" s="84" t="s">
        <v>1502</v>
      </c>
      <c r="G384" s="78" t="s">
        <v>192</v>
      </c>
      <c r="H384" s="78"/>
      <c r="I384" s="78"/>
      <c r="J384" s="78"/>
      <c r="K384" s="78"/>
      <c r="L384" s="78"/>
      <c r="M384" s="78"/>
      <c r="N384" s="78"/>
      <c r="O384" s="94" t="s">
        <v>968</v>
      </c>
      <c r="P384" s="78"/>
      <c r="Q384" s="78"/>
    </row>
    <row r="385" spans="1:17" ht="15" x14ac:dyDescent="0.25">
      <c r="A385" s="78">
        <v>378</v>
      </c>
      <c r="B385" s="85" t="s">
        <v>68</v>
      </c>
      <c r="C385" s="85" t="s">
        <v>400</v>
      </c>
      <c r="D385" s="84" t="s">
        <v>69</v>
      </c>
      <c r="E385" s="79"/>
      <c r="F385" s="84" t="s">
        <v>1502</v>
      </c>
      <c r="G385" s="78" t="s">
        <v>192</v>
      </c>
      <c r="H385" s="78"/>
      <c r="I385" s="78"/>
      <c r="J385" s="78"/>
      <c r="K385" s="78"/>
      <c r="L385" s="78"/>
      <c r="M385" s="78"/>
      <c r="N385" s="78"/>
      <c r="O385" s="84" t="s">
        <v>1409</v>
      </c>
      <c r="P385" s="78"/>
      <c r="Q385" s="78"/>
    </row>
    <row r="386" spans="1:17" ht="15" x14ac:dyDescent="0.25">
      <c r="A386" s="78">
        <v>379</v>
      </c>
      <c r="B386" s="85" t="s">
        <v>68</v>
      </c>
      <c r="C386" s="85" t="s">
        <v>400</v>
      </c>
      <c r="D386" s="84" t="s">
        <v>225</v>
      </c>
      <c r="E386" s="79"/>
      <c r="F386" s="84" t="s">
        <v>1502</v>
      </c>
      <c r="G386" s="78" t="s">
        <v>192</v>
      </c>
      <c r="H386" s="78"/>
      <c r="I386" s="78"/>
      <c r="J386" s="78"/>
      <c r="K386" s="78"/>
      <c r="L386" s="78"/>
      <c r="M386" s="78"/>
      <c r="N386" s="78"/>
      <c r="O386" s="84" t="s">
        <v>1410</v>
      </c>
      <c r="P386" s="78"/>
      <c r="Q386" s="78"/>
    </row>
    <row r="387" spans="1:17" ht="15" x14ac:dyDescent="0.25">
      <c r="A387" s="78">
        <v>380</v>
      </c>
      <c r="B387" s="85" t="s">
        <v>68</v>
      </c>
      <c r="C387" s="85" t="s">
        <v>400</v>
      </c>
      <c r="D387" s="84" t="s">
        <v>1068</v>
      </c>
      <c r="E387" s="79"/>
      <c r="F387" s="84" t="s">
        <v>1502</v>
      </c>
      <c r="G387" s="78" t="s">
        <v>192</v>
      </c>
      <c r="H387" s="78"/>
      <c r="I387" s="78"/>
      <c r="J387" s="78"/>
      <c r="K387" s="78"/>
      <c r="L387" s="78"/>
      <c r="M387" s="78"/>
      <c r="N387" s="78"/>
      <c r="O387" s="84" t="s">
        <v>1411</v>
      </c>
      <c r="P387" s="78"/>
      <c r="Q387" s="78"/>
    </row>
    <row r="388" spans="1:17" ht="15" x14ac:dyDescent="0.25">
      <c r="A388" s="78">
        <v>381</v>
      </c>
      <c r="B388" s="85" t="s">
        <v>68</v>
      </c>
      <c r="C388" s="85" t="s">
        <v>400</v>
      </c>
      <c r="D388" s="84" t="s">
        <v>1069</v>
      </c>
      <c r="E388" s="79"/>
      <c r="F388" s="84" t="s">
        <v>1502</v>
      </c>
      <c r="G388" s="78" t="s">
        <v>192</v>
      </c>
      <c r="H388" s="78"/>
      <c r="I388" s="78"/>
      <c r="J388" s="78"/>
      <c r="K388" s="78"/>
      <c r="L388" s="78"/>
      <c r="M388" s="78"/>
      <c r="N388" s="78"/>
      <c r="O388" s="84" t="s">
        <v>1412</v>
      </c>
      <c r="P388" s="78"/>
      <c r="Q388" s="78"/>
    </row>
    <row r="389" spans="1:17" ht="15" x14ac:dyDescent="0.25">
      <c r="A389" s="78">
        <v>382</v>
      </c>
      <c r="B389" s="85" t="s">
        <v>68</v>
      </c>
      <c r="C389" s="85" t="s">
        <v>594</v>
      </c>
      <c r="D389" s="84" t="s">
        <v>862</v>
      </c>
      <c r="E389" s="79"/>
      <c r="F389" s="83" t="s">
        <v>929</v>
      </c>
      <c r="G389" s="78" t="s">
        <v>192</v>
      </c>
      <c r="H389" s="78"/>
      <c r="I389" s="78"/>
      <c r="J389" s="78"/>
      <c r="K389" s="78"/>
      <c r="L389" s="78"/>
      <c r="M389" s="78"/>
      <c r="N389" s="78"/>
      <c r="O389" s="84" t="s">
        <v>1413</v>
      </c>
      <c r="P389" s="78"/>
      <c r="Q389" s="78"/>
    </row>
    <row r="390" spans="1:17" ht="15" x14ac:dyDescent="0.25">
      <c r="A390" s="78">
        <v>383</v>
      </c>
      <c r="B390" s="85" t="s">
        <v>68</v>
      </c>
      <c r="C390" s="85" t="s">
        <v>594</v>
      </c>
      <c r="D390" s="84" t="s">
        <v>863</v>
      </c>
      <c r="E390" s="79"/>
      <c r="F390" s="83" t="s">
        <v>930</v>
      </c>
      <c r="G390" s="78" t="s">
        <v>192</v>
      </c>
      <c r="H390" s="78"/>
      <c r="I390" s="78"/>
      <c r="J390" s="78"/>
      <c r="K390" s="78"/>
      <c r="L390" s="78"/>
      <c r="M390" s="78"/>
      <c r="N390" s="78"/>
      <c r="O390" s="84" t="s">
        <v>1414</v>
      </c>
      <c r="P390" s="78"/>
      <c r="Q390" s="78"/>
    </row>
    <row r="391" spans="1:17" ht="15" x14ac:dyDescent="0.25">
      <c r="A391" s="78">
        <v>384</v>
      </c>
      <c r="B391" s="85" t="s">
        <v>68</v>
      </c>
      <c r="C391" s="85" t="s">
        <v>594</v>
      </c>
      <c r="D391" s="84" t="s">
        <v>1070</v>
      </c>
      <c r="E391" s="79"/>
      <c r="F391" s="84"/>
      <c r="G391" s="78" t="s">
        <v>192</v>
      </c>
      <c r="H391" s="78"/>
      <c r="I391" s="78"/>
      <c r="J391" s="78"/>
      <c r="K391" s="78"/>
      <c r="L391" s="78"/>
      <c r="M391" s="78"/>
      <c r="N391" s="78"/>
      <c r="O391" s="84" t="s">
        <v>1415</v>
      </c>
      <c r="P391" s="78"/>
      <c r="Q391" s="78"/>
    </row>
    <row r="392" spans="1:17" ht="15" x14ac:dyDescent="0.25">
      <c r="A392" s="78">
        <v>385</v>
      </c>
      <c r="B392" s="85" t="s">
        <v>68</v>
      </c>
      <c r="C392" s="85" t="s">
        <v>594</v>
      </c>
      <c r="D392" s="84" t="s">
        <v>1071</v>
      </c>
      <c r="E392" s="79"/>
      <c r="F392" s="84"/>
      <c r="G392" s="78" t="s">
        <v>192</v>
      </c>
      <c r="H392" s="78"/>
      <c r="I392" s="78"/>
      <c r="J392" s="78"/>
      <c r="K392" s="78"/>
      <c r="L392" s="78"/>
      <c r="M392" s="78"/>
      <c r="N392" s="78"/>
      <c r="O392" s="84" t="s">
        <v>1416</v>
      </c>
      <c r="P392" s="78"/>
      <c r="Q392" s="78"/>
    </row>
    <row r="393" spans="1:17" ht="15" x14ac:dyDescent="0.25">
      <c r="A393" s="78">
        <v>386</v>
      </c>
      <c r="B393" s="85" t="s">
        <v>566</v>
      </c>
      <c r="C393" s="82" t="s">
        <v>579</v>
      </c>
      <c r="D393" s="83" t="s">
        <v>864</v>
      </c>
      <c r="E393" s="79"/>
      <c r="F393" s="80" t="s">
        <v>230</v>
      </c>
      <c r="G393" s="78"/>
      <c r="H393" s="78"/>
      <c r="I393" s="78"/>
      <c r="J393" s="78"/>
      <c r="K393" s="78"/>
      <c r="L393" s="78"/>
      <c r="M393" s="78"/>
      <c r="N393" s="78"/>
      <c r="O393" s="81" t="s">
        <v>1417</v>
      </c>
      <c r="P393" s="78"/>
      <c r="Q393" s="78"/>
    </row>
    <row r="394" spans="1:17" ht="15" x14ac:dyDescent="0.25">
      <c r="A394" s="78">
        <v>387</v>
      </c>
      <c r="B394" s="85" t="s">
        <v>566</v>
      </c>
      <c r="C394" s="82" t="s">
        <v>579</v>
      </c>
      <c r="D394" s="83" t="s">
        <v>865</v>
      </c>
      <c r="E394" s="79"/>
      <c r="F394" s="80" t="s">
        <v>926</v>
      </c>
      <c r="G394" s="78"/>
      <c r="H394" s="78"/>
      <c r="I394" s="78"/>
      <c r="J394" s="78"/>
      <c r="K394" s="78"/>
      <c r="L394" s="78"/>
      <c r="M394" s="78"/>
      <c r="N394" s="78"/>
      <c r="O394" s="81" t="s">
        <v>1418</v>
      </c>
      <c r="P394" s="78"/>
      <c r="Q394" s="78"/>
    </row>
    <row r="395" spans="1:17" ht="15" x14ac:dyDescent="0.25">
      <c r="A395" s="78">
        <v>388</v>
      </c>
      <c r="B395" s="85" t="s">
        <v>566</v>
      </c>
      <c r="C395" s="82" t="s">
        <v>579</v>
      </c>
      <c r="D395" s="83" t="s">
        <v>866</v>
      </c>
      <c r="E395" s="79"/>
      <c r="F395" s="80" t="s">
        <v>923</v>
      </c>
      <c r="G395" s="78"/>
      <c r="H395" s="78"/>
      <c r="I395" s="78"/>
      <c r="J395" s="78"/>
      <c r="K395" s="78"/>
      <c r="L395" s="78"/>
      <c r="M395" s="78"/>
      <c r="N395" s="78"/>
      <c r="O395" s="81" t="s">
        <v>1419</v>
      </c>
      <c r="P395" s="78"/>
      <c r="Q395" s="78"/>
    </row>
    <row r="396" spans="1:17" ht="45" x14ac:dyDescent="0.25">
      <c r="A396" s="78">
        <v>389</v>
      </c>
      <c r="B396" s="85" t="s">
        <v>566</v>
      </c>
      <c r="C396" s="85" t="s">
        <v>591</v>
      </c>
      <c r="D396" s="83" t="s">
        <v>867</v>
      </c>
      <c r="E396" s="79"/>
      <c r="F396" s="80" t="s">
        <v>928</v>
      </c>
      <c r="G396" s="78"/>
      <c r="H396" s="78"/>
      <c r="I396" s="78"/>
      <c r="J396" s="78"/>
      <c r="K396" s="78"/>
      <c r="L396" s="78"/>
      <c r="M396" s="78"/>
      <c r="N396" s="78"/>
      <c r="O396" s="88" t="s">
        <v>1420</v>
      </c>
      <c r="P396" s="78"/>
      <c r="Q396" s="78"/>
    </row>
    <row r="397" spans="1:17" ht="15" x14ac:dyDescent="0.25">
      <c r="A397" s="78">
        <v>390</v>
      </c>
      <c r="B397" s="85" t="s">
        <v>566</v>
      </c>
      <c r="C397" s="85" t="s">
        <v>591</v>
      </c>
      <c r="D397" s="83" t="s">
        <v>868</v>
      </c>
      <c r="E397" s="79"/>
      <c r="F397" s="84"/>
      <c r="G397" s="78"/>
      <c r="H397" s="78"/>
      <c r="I397" s="78"/>
      <c r="J397" s="78"/>
      <c r="K397" s="78"/>
      <c r="L397" s="78"/>
      <c r="M397" s="78"/>
      <c r="N397" s="78"/>
      <c r="O397" s="84" t="s">
        <v>1421</v>
      </c>
      <c r="P397" s="78"/>
      <c r="Q397" s="78"/>
    </row>
    <row r="398" spans="1:17" ht="15" x14ac:dyDescent="0.25">
      <c r="A398" s="78">
        <v>391</v>
      </c>
      <c r="B398" s="85" t="s">
        <v>566</v>
      </c>
      <c r="C398" s="85" t="s">
        <v>591</v>
      </c>
      <c r="D398" s="83" t="s">
        <v>869</v>
      </c>
      <c r="E398" s="79"/>
      <c r="F398" s="84"/>
      <c r="G398" s="78"/>
      <c r="H398" s="78"/>
      <c r="I398" s="78"/>
      <c r="J398" s="78"/>
      <c r="K398" s="78"/>
      <c r="L398" s="78"/>
      <c r="M398" s="78"/>
      <c r="N398" s="78"/>
      <c r="O398" s="84" t="s">
        <v>1422</v>
      </c>
      <c r="P398" s="78"/>
      <c r="Q398" s="78"/>
    </row>
    <row r="399" spans="1:17" ht="15" x14ac:dyDescent="0.25">
      <c r="A399" s="78">
        <v>392</v>
      </c>
      <c r="B399" s="85" t="s">
        <v>566</v>
      </c>
      <c r="C399" s="85" t="s">
        <v>591</v>
      </c>
      <c r="D399" s="83" t="s">
        <v>870</v>
      </c>
      <c r="E399" s="79"/>
      <c r="F399" s="84"/>
      <c r="G399" s="78"/>
      <c r="H399" s="78"/>
      <c r="I399" s="78"/>
      <c r="J399" s="78"/>
      <c r="K399" s="78"/>
      <c r="L399" s="78"/>
      <c r="M399" s="78"/>
      <c r="N399" s="78"/>
      <c r="O399" s="84" t="s">
        <v>1423</v>
      </c>
      <c r="P399" s="78"/>
      <c r="Q399" s="78"/>
    </row>
    <row r="400" spans="1:17" ht="15" x14ac:dyDescent="0.25">
      <c r="A400" s="78">
        <v>393</v>
      </c>
      <c r="B400" s="85" t="s">
        <v>566</v>
      </c>
      <c r="C400" s="85" t="s">
        <v>591</v>
      </c>
      <c r="D400" s="83" t="s">
        <v>871</v>
      </c>
      <c r="E400" s="79"/>
      <c r="F400" s="84"/>
      <c r="G400" s="78"/>
      <c r="H400" s="78"/>
      <c r="I400" s="78"/>
      <c r="J400" s="78"/>
      <c r="K400" s="78"/>
      <c r="L400" s="78"/>
      <c r="M400" s="78"/>
      <c r="N400" s="78"/>
      <c r="O400" s="84" t="s">
        <v>1424</v>
      </c>
      <c r="P400" s="78"/>
      <c r="Q400" s="78"/>
    </row>
    <row r="401" spans="1:17" ht="15" x14ac:dyDescent="0.25">
      <c r="A401" s="78">
        <v>394</v>
      </c>
      <c r="B401" s="85" t="s">
        <v>566</v>
      </c>
      <c r="C401" s="85" t="s">
        <v>591</v>
      </c>
      <c r="D401" s="83" t="s">
        <v>872</v>
      </c>
      <c r="E401" s="79"/>
      <c r="F401" s="84"/>
      <c r="G401" s="78"/>
      <c r="H401" s="78"/>
      <c r="I401" s="78"/>
      <c r="J401" s="78"/>
      <c r="K401" s="78"/>
      <c r="L401" s="78"/>
      <c r="M401" s="78"/>
      <c r="N401" s="78"/>
      <c r="O401" s="84" t="s">
        <v>1425</v>
      </c>
      <c r="P401" s="78"/>
      <c r="Q401" s="78"/>
    </row>
    <row r="402" spans="1:17" ht="15" x14ac:dyDescent="0.25">
      <c r="A402" s="78">
        <v>395</v>
      </c>
      <c r="B402" s="85" t="s">
        <v>566</v>
      </c>
      <c r="C402" s="85" t="s">
        <v>591</v>
      </c>
      <c r="D402" s="83" t="s">
        <v>873</v>
      </c>
      <c r="E402" s="79"/>
      <c r="F402" s="84"/>
      <c r="G402" s="78"/>
      <c r="H402" s="78"/>
      <c r="I402" s="78"/>
      <c r="J402" s="78"/>
      <c r="K402" s="78"/>
      <c r="L402" s="78"/>
      <c r="M402" s="78"/>
      <c r="N402" s="78"/>
      <c r="O402" s="84" t="s">
        <v>1426</v>
      </c>
      <c r="P402" s="78"/>
      <c r="Q402" s="78"/>
    </row>
    <row r="403" spans="1:17" ht="15" x14ac:dyDescent="0.25">
      <c r="A403" s="78">
        <v>396</v>
      </c>
      <c r="B403" s="85" t="s">
        <v>566</v>
      </c>
      <c r="C403" s="85" t="s">
        <v>591</v>
      </c>
      <c r="D403" s="83" t="s">
        <v>874</v>
      </c>
      <c r="E403" s="79"/>
      <c r="F403" s="88"/>
      <c r="G403" s="78"/>
      <c r="H403" s="78"/>
      <c r="I403" s="78"/>
      <c r="J403" s="78"/>
      <c r="K403" s="78"/>
      <c r="L403" s="78"/>
      <c r="M403" s="78"/>
      <c r="N403" s="78"/>
      <c r="O403" s="84" t="s">
        <v>1427</v>
      </c>
      <c r="P403" s="78"/>
      <c r="Q403" s="78"/>
    </row>
    <row r="404" spans="1:17" ht="15" x14ac:dyDescent="0.25">
      <c r="A404" s="78">
        <v>397</v>
      </c>
      <c r="B404" s="85" t="s">
        <v>566</v>
      </c>
      <c r="C404" s="85" t="s">
        <v>591</v>
      </c>
      <c r="D404" s="83" t="s">
        <v>875</v>
      </c>
      <c r="E404" s="79"/>
      <c r="F404" s="84"/>
      <c r="G404" s="78"/>
      <c r="H404" s="78"/>
      <c r="I404" s="78"/>
      <c r="J404" s="78"/>
      <c r="K404" s="78"/>
      <c r="L404" s="78"/>
      <c r="M404" s="78"/>
      <c r="N404" s="78"/>
      <c r="O404" s="84" t="s">
        <v>1428</v>
      </c>
      <c r="P404" s="78"/>
      <c r="Q404" s="78"/>
    </row>
    <row r="405" spans="1:17" ht="15" x14ac:dyDescent="0.25">
      <c r="A405" s="78">
        <v>398</v>
      </c>
      <c r="B405" s="85" t="s">
        <v>566</v>
      </c>
      <c r="C405" s="85" t="s">
        <v>591</v>
      </c>
      <c r="D405" s="83" t="s">
        <v>876</v>
      </c>
      <c r="E405" s="79"/>
      <c r="F405" s="84"/>
      <c r="G405" s="78"/>
      <c r="H405" s="78"/>
      <c r="I405" s="78"/>
      <c r="J405" s="78"/>
      <c r="K405" s="78"/>
      <c r="L405" s="78"/>
      <c r="M405" s="78"/>
      <c r="N405" s="78"/>
      <c r="O405" s="84" t="s">
        <v>1429</v>
      </c>
      <c r="P405" s="78"/>
      <c r="Q405" s="78"/>
    </row>
    <row r="406" spans="1:17" ht="15" x14ac:dyDescent="0.25">
      <c r="A406" s="78">
        <v>399</v>
      </c>
      <c r="B406" s="85" t="s">
        <v>566</v>
      </c>
      <c r="C406" s="85" t="s">
        <v>592</v>
      </c>
      <c r="D406" s="83" t="s">
        <v>877</v>
      </c>
      <c r="E406" s="79"/>
      <c r="F406" s="83" t="s">
        <v>320</v>
      </c>
      <c r="G406" s="78"/>
      <c r="H406" s="78"/>
      <c r="I406" s="78"/>
      <c r="J406" s="78"/>
      <c r="K406" s="78"/>
      <c r="L406" s="78"/>
      <c r="M406" s="78"/>
      <c r="N406" s="78"/>
      <c r="O406" s="84" t="s">
        <v>1430</v>
      </c>
      <c r="P406" s="78"/>
      <c r="Q406" s="78"/>
    </row>
    <row r="407" spans="1:17" ht="15" x14ac:dyDescent="0.25">
      <c r="A407" s="78">
        <v>400</v>
      </c>
      <c r="B407" s="85" t="s">
        <v>566</v>
      </c>
      <c r="C407" s="85" t="s">
        <v>592</v>
      </c>
      <c r="D407" s="83" t="s">
        <v>1072</v>
      </c>
      <c r="E407" s="79"/>
      <c r="F407" s="84"/>
      <c r="G407" s="78"/>
      <c r="H407" s="78"/>
      <c r="I407" s="78"/>
      <c r="J407" s="78"/>
      <c r="K407" s="78"/>
      <c r="L407" s="78"/>
      <c r="M407" s="78"/>
      <c r="N407" s="78"/>
      <c r="O407" s="84" t="s">
        <v>1431</v>
      </c>
      <c r="P407" s="78"/>
      <c r="Q407" s="78"/>
    </row>
    <row r="408" spans="1:17" ht="15" x14ac:dyDescent="0.25">
      <c r="A408" s="78">
        <v>401</v>
      </c>
      <c r="B408" s="85" t="s">
        <v>566</v>
      </c>
      <c r="C408" s="85" t="s">
        <v>592</v>
      </c>
      <c r="D408" s="83" t="s">
        <v>1073</v>
      </c>
      <c r="E408" s="79"/>
      <c r="F408" s="84"/>
      <c r="G408" s="78"/>
      <c r="H408" s="78"/>
      <c r="I408" s="78"/>
      <c r="J408" s="78"/>
      <c r="K408" s="78"/>
      <c r="L408" s="78"/>
      <c r="M408" s="78"/>
      <c r="N408" s="78"/>
      <c r="O408" s="84" t="s">
        <v>1432</v>
      </c>
      <c r="P408" s="78"/>
      <c r="Q408" s="78"/>
    </row>
    <row r="409" spans="1:17" ht="15" x14ac:dyDescent="0.25">
      <c r="A409" s="78">
        <v>402</v>
      </c>
      <c r="B409" s="85" t="s">
        <v>566</v>
      </c>
      <c r="C409" s="85" t="s">
        <v>319</v>
      </c>
      <c r="D409" s="83" t="s">
        <v>878</v>
      </c>
      <c r="E409" s="79"/>
      <c r="F409" s="83" t="s">
        <v>320</v>
      </c>
      <c r="G409" s="78"/>
      <c r="H409" s="78"/>
      <c r="I409" s="78"/>
      <c r="J409" s="78"/>
      <c r="K409" s="78"/>
      <c r="L409" s="78"/>
      <c r="M409" s="78"/>
      <c r="N409" s="78"/>
      <c r="O409" s="84" t="s">
        <v>1433</v>
      </c>
      <c r="P409" s="78"/>
      <c r="Q409" s="78"/>
    </row>
    <row r="410" spans="1:17" ht="15" x14ac:dyDescent="0.25">
      <c r="A410" s="78">
        <v>403</v>
      </c>
      <c r="B410" s="85" t="s">
        <v>566</v>
      </c>
      <c r="C410" s="82" t="s">
        <v>319</v>
      </c>
      <c r="D410" s="84" t="s">
        <v>879</v>
      </c>
      <c r="E410" s="79"/>
      <c r="F410" s="83"/>
      <c r="G410" s="78"/>
      <c r="H410" s="78"/>
      <c r="I410" s="78"/>
      <c r="J410" s="78"/>
      <c r="K410" s="78"/>
      <c r="L410" s="78"/>
      <c r="M410" s="78"/>
      <c r="N410" s="78"/>
      <c r="O410" s="84" t="s">
        <v>1434</v>
      </c>
      <c r="P410" s="78"/>
      <c r="Q410" s="78"/>
    </row>
    <row r="411" spans="1:17" ht="15" x14ac:dyDescent="0.25">
      <c r="A411" s="78">
        <v>404</v>
      </c>
      <c r="B411" s="85" t="s">
        <v>566</v>
      </c>
      <c r="C411" s="85" t="s">
        <v>319</v>
      </c>
      <c r="D411" s="83" t="s">
        <v>1074</v>
      </c>
      <c r="E411" s="79"/>
      <c r="F411" s="84"/>
      <c r="G411" s="78"/>
      <c r="H411" s="78"/>
      <c r="I411" s="78"/>
      <c r="J411" s="78"/>
      <c r="K411" s="78"/>
      <c r="L411" s="78"/>
      <c r="M411" s="78"/>
      <c r="N411" s="78"/>
      <c r="O411" s="84" t="s">
        <v>1435</v>
      </c>
      <c r="P411" s="78"/>
      <c r="Q411" s="78"/>
    </row>
    <row r="412" spans="1:17" ht="15" x14ac:dyDescent="0.25">
      <c r="A412" s="78">
        <v>405</v>
      </c>
      <c r="B412" s="85" t="s">
        <v>566</v>
      </c>
      <c r="C412" s="85" t="s">
        <v>319</v>
      </c>
      <c r="D412" s="83" t="s">
        <v>1075</v>
      </c>
      <c r="E412" s="79"/>
      <c r="F412" s="84"/>
      <c r="G412" s="78"/>
      <c r="H412" s="78"/>
      <c r="I412" s="78"/>
      <c r="J412" s="78"/>
      <c r="K412" s="78"/>
      <c r="L412" s="78"/>
      <c r="M412" s="78"/>
      <c r="N412" s="78"/>
      <c r="O412" s="84" t="s">
        <v>1436</v>
      </c>
      <c r="P412" s="78"/>
      <c r="Q412" s="78"/>
    </row>
    <row r="413" spans="1:17" ht="15" x14ac:dyDescent="0.25">
      <c r="A413" s="78">
        <v>406</v>
      </c>
      <c r="B413" s="85" t="s">
        <v>566</v>
      </c>
      <c r="C413" s="85" t="s">
        <v>319</v>
      </c>
      <c r="D413" s="83" t="s">
        <v>1076</v>
      </c>
      <c r="E413" s="79"/>
      <c r="F413" s="84"/>
      <c r="G413" s="78"/>
      <c r="H413" s="78"/>
      <c r="I413" s="78"/>
      <c r="J413" s="78"/>
      <c r="K413" s="78"/>
      <c r="L413" s="78"/>
      <c r="M413" s="78"/>
      <c r="N413" s="78"/>
      <c r="O413" s="84" t="s">
        <v>1437</v>
      </c>
      <c r="P413" s="78"/>
      <c r="Q413" s="78"/>
    </row>
    <row r="414" spans="1:17" ht="15" x14ac:dyDescent="0.25">
      <c r="A414" s="78">
        <v>407</v>
      </c>
      <c r="B414" s="85" t="s">
        <v>566</v>
      </c>
      <c r="C414" s="85" t="s">
        <v>318</v>
      </c>
      <c r="D414" s="84" t="s">
        <v>880</v>
      </c>
      <c r="E414" s="79"/>
      <c r="F414" s="83" t="s">
        <v>320</v>
      </c>
      <c r="G414" s="78"/>
      <c r="H414" s="78"/>
      <c r="I414" s="78"/>
      <c r="J414" s="78"/>
      <c r="K414" s="78"/>
      <c r="L414" s="78"/>
      <c r="M414" s="78"/>
      <c r="N414" s="78"/>
      <c r="O414" s="84" t="s">
        <v>1438</v>
      </c>
      <c r="P414" s="78"/>
      <c r="Q414" s="78"/>
    </row>
    <row r="415" spans="1:17" ht="45" x14ac:dyDescent="0.25">
      <c r="A415" s="78">
        <v>408</v>
      </c>
      <c r="B415" s="85" t="s">
        <v>566</v>
      </c>
      <c r="C415" s="85" t="s">
        <v>318</v>
      </c>
      <c r="D415" s="84" t="s">
        <v>1077</v>
      </c>
      <c r="E415" s="79"/>
      <c r="F415" s="84"/>
      <c r="G415" s="78"/>
      <c r="H415" s="78"/>
      <c r="I415" s="78"/>
      <c r="J415" s="78"/>
      <c r="K415" s="78"/>
      <c r="L415" s="78"/>
      <c r="M415" s="78"/>
      <c r="N415" s="78"/>
      <c r="O415" s="87" t="s">
        <v>1439</v>
      </c>
      <c r="P415" s="78"/>
      <c r="Q415" s="78"/>
    </row>
    <row r="416" spans="1:17" ht="15" x14ac:dyDescent="0.25">
      <c r="A416" s="78">
        <v>409</v>
      </c>
      <c r="B416" s="85" t="s">
        <v>566</v>
      </c>
      <c r="C416" s="85" t="s">
        <v>318</v>
      </c>
      <c r="D416" s="83" t="s">
        <v>1078</v>
      </c>
      <c r="E416" s="79"/>
      <c r="F416" s="84"/>
      <c r="G416" s="78"/>
      <c r="H416" s="78"/>
      <c r="I416" s="78"/>
      <c r="J416" s="78"/>
      <c r="K416" s="78"/>
      <c r="L416" s="78"/>
      <c r="M416" s="78"/>
      <c r="N416" s="78"/>
      <c r="O416" s="84" t="s">
        <v>1440</v>
      </c>
      <c r="P416" s="78"/>
      <c r="Q416" s="78"/>
    </row>
    <row r="417" spans="1:17" ht="15" x14ac:dyDescent="0.25">
      <c r="A417" s="78">
        <v>410</v>
      </c>
      <c r="B417" s="85" t="s">
        <v>566</v>
      </c>
      <c r="C417" s="85" t="s">
        <v>318</v>
      </c>
      <c r="D417" s="84" t="s">
        <v>1079</v>
      </c>
      <c r="E417" s="79"/>
      <c r="F417" s="84"/>
      <c r="G417" s="78"/>
      <c r="H417" s="78"/>
      <c r="I417" s="78"/>
      <c r="J417" s="78"/>
      <c r="K417" s="78"/>
      <c r="L417" s="78"/>
      <c r="M417" s="78"/>
      <c r="N417" s="78"/>
      <c r="O417" s="84" t="s">
        <v>1441</v>
      </c>
      <c r="P417" s="78"/>
      <c r="Q417" s="78"/>
    </row>
    <row r="418" spans="1:17" ht="15" x14ac:dyDescent="0.25">
      <c r="A418" s="78">
        <v>411</v>
      </c>
      <c r="B418" s="85" t="s">
        <v>566</v>
      </c>
      <c r="C418" s="85" t="s">
        <v>318</v>
      </c>
      <c r="D418" s="84" t="s">
        <v>1080</v>
      </c>
      <c r="E418" s="79"/>
      <c r="F418" s="84"/>
      <c r="G418" s="78"/>
      <c r="H418" s="78"/>
      <c r="I418" s="78"/>
      <c r="J418" s="78"/>
      <c r="K418" s="78"/>
      <c r="L418" s="78"/>
      <c r="M418" s="78"/>
      <c r="N418" s="78"/>
      <c r="O418" s="84" t="s">
        <v>1442</v>
      </c>
      <c r="P418" s="78"/>
      <c r="Q418" s="78"/>
    </row>
    <row r="419" spans="1:17" ht="15" x14ac:dyDescent="0.25">
      <c r="A419" s="78">
        <v>412</v>
      </c>
      <c r="B419" s="85" t="s">
        <v>566</v>
      </c>
      <c r="C419" s="85" t="s">
        <v>318</v>
      </c>
      <c r="D419" s="84" t="s">
        <v>988</v>
      </c>
      <c r="E419" s="79"/>
      <c r="F419" s="84"/>
      <c r="G419" s="78"/>
      <c r="H419" s="78"/>
      <c r="I419" s="78"/>
      <c r="J419" s="78"/>
      <c r="K419" s="78"/>
      <c r="L419" s="78"/>
      <c r="M419" s="78"/>
      <c r="N419" s="78"/>
      <c r="O419" s="84" t="s">
        <v>1443</v>
      </c>
      <c r="P419" s="78"/>
      <c r="Q419" s="78"/>
    </row>
    <row r="420" spans="1:17" ht="15" x14ac:dyDescent="0.25">
      <c r="A420" s="78">
        <v>413</v>
      </c>
      <c r="B420" s="85" t="s">
        <v>566</v>
      </c>
      <c r="C420" s="85" t="s">
        <v>318</v>
      </c>
      <c r="D420" s="84" t="s">
        <v>1545</v>
      </c>
      <c r="E420" s="79" t="s">
        <v>1547</v>
      </c>
      <c r="F420" s="84"/>
      <c r="G420" s="78"/>
      <c r="H420" s="78"/>
      <c r="I420" s="78"/>
      <c r="J420" s="78"/>
      <c r="K420" s="78"/>
      <c r="L420" s="78"/>
      <c r="M420" s="78"/>
      <c r="N420" s="78"/>
      <c r="O420" s="84" t="s">
        <v>1444</v>
      </c>
      <c r="P420" s="78"/>
      <c r="Q420" s="78"/>
    </row>
    <row r="421" spans="1:17" ht="15" x14ac:dyDescent="0.25">
      <c r="A421" s="78">
        <v>414</v>
      </c>
      <c r="B421" s="85" t="s">
        <v>566</v>
      </c>
      <c r="C421" s="85" t="s">
        <v>318</v>
      </c>
      <c r="D421" s="84" t="s">
        <v>1081</v>
      </c>
      <c r="E421" s="79"/>
      <c r="F421" s="84"/>
      <c r="G421" s="78"/>
      <c r="H421" s="78"/>
      <c r="I421" s="78"/>
      <c r="J421" s="78"/>
      <c r="K421" s="78"/>
      <c r="L421" s="78"/>
      <c r="M421" s="78"/>
      <c r="N421" s="78"/>
      <c r="O421" s="84" t="s">
        <v>1445</v>
      </c>
      <c r="P421" s="78"/>
      <c r="Q421" s="78"/>
    </row>
    <row r="422" spans="1:17" ht="15" x14ac:dyDescent="0.25">
      <c r="A422" s="78">
        <v>415</v>
      </c>
      <c r="B422" s="85" t="s">
        <v>566</v>
      </c>
      <c r="C422" s="85" t="s">
        <v>318</v>
      </c>
      <c r="D422" s="84" t="s">
        <v>1082</v>
      </c>
      <c r="E422" s="79"/>
      <c r="F422" s="84"/>
      <c r="G422" s="78"/>
      <c r="H422" s="78"/>
      <c r="I422" s="78"/>
      <c r="J422" s="78"/>
      <c r="K422" s="78"/>
      <c r="L422" s="78"/>
      <c r="M422" s="78"/>
      <c r="N422" s="78"/>
      <c r="O422" s="84" t="s">
        <v>1446</v>
      </c>
      <c r="P422" s="78"/>
      <c r="Q422" s="78"/>
    </row>
    <row r="423" spans="1:17" ht="15" x14ac:dyDescent="0.25">
      <c r="A423" s="78">
        <v>416</v>
      </c>
      <c r="B423" s="85" t="s">
        <v>566</v>
      </c>
      <c r="C423" s="85" t="s">
        <v>318</v>
      </c>
      <c r="D423" s="84" t="s">
        <v>1043</v>
      </c>
      <c r="E423" s="79"/>
      <c r="F423" s="84"/>
      <c r="G423" s="78"/>
      <c r="H423" s="78"/>
      <c r="I423" s="78"/>
      <c r="J423" s="78"/>
      <c r="K423" s="78"/>
      <c r="L423" s="78"/>
      <c r="M423" s="78"/>
      <c r="N423" s="78"/>
      <c r="O423" s="84" t="s">
        <v>1447</v>
      </c>
      <c r="P423" s="78"/>
      <c r="Q423" s="78"/>
    </row>
    <row r="424" spans="1:17" ht="15" x14ac:dyDescent="0.25">
      <c r="A424" s="78">
        <v>417</v>
      </c>
      <c r="B424" s="85" t="s">
        <v>566</v>
      </c>
      <c r="C424" s="85" t="s">
        <v>226</v>
      </c>
      <c r="D424" s="83" t="s">
        <v>881</v>
      </c>
      <c r="E424" s="79"/>
      <c r="F424" s="87"/>
      <c r="G424" s="78"/>
      <c r="H424" s="78"/>
      <c r="I424" s="78"/>
      <c r="J424" s="78"/>
      <c r="K424" s="78"/>
      <c r="L424" s="78"/>
      <c r="M424" s="78"/>
      <c r="N424" s="78"/>
      <c r="O424" s="84" t="s">
        <v>1448</v>
      </c>
      <c r="P424" s="78"/>
      <c r="Q424" s="78"/>
    </row>
    <row r="425" spans="1:17" ht="15" x14ac:dyDescent="0.25">
      <c r="A425" s="78">
        <v>418</v>
      </c>
      <c r="B425" s="85" t="s">
        <v>566</v>
      </c>
      <c r="C425" s="85" t="s">
        <v>226</v>
      </c>
      <c r="D425" s="84" t="s">
        <v>882</v>
      </c>
      <c r="E425" s="79"/>
      <c r="F425" s="84"/>
      <c r="G425" s="78"/>
      <c r="H425" s="78"/>
      <c r="I425" s="78"/>
      <c r="J425" s="78"/>
      <c r="K425" s="78"/>
      <c r="L425" s="78"/>
      <c r="M425" s="78"/>
      <c r="N425" s="78"/>
      <c r="O425" s="84" t="s">
        <v>1449</v>
      </c>
      <c r="P425" s="78"/>
      <c r="Q425" s="78"/>
    </row>
    <row r="426" spans="1:17" ht="15" x14ac:dyDescent="0.25">
      <c r="A426" s="78">
        <v>419</v>
      </c>
      <c r="B426" s="85" t="s">
        <v>566</v>
      </c>
      <c r="C426" s="85" t="s">
        <v>226</v>
      </c>
      <c r="D426" s="83" t="s">
        <v>883</v>
      </c>
      <c r="E426" s="79"/>
      <c r="F426" s="84"/>
      <c r="G426" s="78"/>
      <c r="H426" s="78"/>
      <c r="I426" s="78"/>
      <c r="J426" s="78"/>
      <c r="K426" s="78"/>
      <c r="L426" s="78"/>
      <c r="M426" s="78"/>
      <c r="N426" s="78"/>
      <c r="O426" s="84" t="s">
        <v>1450</v>
      </c>
      <c r="P426" s="78"/>
      <c r="Q426" s="78"/>
    </row>
    <row r="427" spans="1:17" ht="15" x14ac:dyDescent="0.25">
      <c r="A427" s="78">
        <v>420</v>
      </c>
      <c r="B427" s="85" t="s">
        <v>566</v>
      </c>
      <c r="C427" s="85" t="s">
        <v>226</v>
      </c>
      <c r="D427" s="84" t="s">
        <v>884</v>
      </c>
      <c r="E427" s="79"/>
      <c r="F427" s="84"/>
      <c r="G427" s="78"/>
      <c r="H427" s="78"/>
      <c r="I427" s="78"/>
      <c r="J427" s="78"/>
      <c r="K427" s="78"/>
      <c r="L427" s="78"/>
      <c r="M427" s="78"/>
      <c r="N427" s="78"/>
      <c r="O427" s="89" t="s">
        <v>969</v>
      </c>
      <c r="P427" s="78"/>
      <c r="Q427" s="78"/>
    </row>
    <row r="428" spans="1:17" ht="15" x14ac:dyDescent="0.25">
      <c r="A428" s="78">
        <v>421</v>
      </c>
      <c r="B428" s="85" t="s">
        <v>566</v>
      </c>
      <c r="C428" s="85" t="s">
        <v>195</v>
      </c>
      <c r="D428" s="84" t="s">
        <v>885</v>
      </c>
      <c r="E428" s="79"/>
      <c r="F428" s="83" t="s">
        <v>323</v>
      </c>
      <c r="G428" s="78"/>
      <c r="H428" s="78"/>
      <c r="I428" s="78"/>
      <c r="J428" s="78"/>
      <c r="K428" s="78"/>
      <c r="L428" s="78"/>
      <c r="M428" s="78"/>
      <c r="N428" s="78"/>
      <c r="O428" s="92" t="s">
        <v>970</v>
      </c>
      <c r="P428" s="78"/>
      <c r="Q428" s="78"/>
    </row>
    <row r="429" spans="1:17" ht="15" x14ac:dyDescent="0.25">
      <c r="A429" s="78">
        <v>422</v>
      </c>
      <c r="B429" s="85" t="s">
        <v>566</v>
      </c>
      <c r="C429" s="85" t="s">
        <v>195</v>
      </c>
      <c r="D429" s="83" t="s">
        <v>656</v>
      </c>
      <c r="E429" s="79"/>
      <c r="F429" s="83" t="s">
        <v>918</v>
      </c>
      <c r="G429" s="78"/>
      <c r="H429" s="78"/>
      <c r="I429" s="78"/>
      <c r="J429" s="78"/>
      <c r="K429" s="78"/>
      <c r="L429" s="78"/>
      <c r="M429" s="78"/>
      <c r="N429" s="78"/>
      <c r="O429" s="84" t="s">
        <v>1451</v>
      </c>
      <c r="P429" s="78"/>
      <c r="Q429" s="78"/>
    </row>
    <row r="430" spans="1:17" ht="15" x14ac:dyDescent="0.25">
      <c r="A430" s="78">
        <v>423</v>
      </c>
      <c r="B430" s="85" t="s">
        <v>566</v>
      </c>
      <c r="C430" s="85" t="s">
        <v>195</v>
      </c>
      <c r="D430" s="83" t="s">
        <v>886</v>
      </c>
      <c r="E430" s="79"/>
      <c r="F430" s="84" t="s">
        <v>1502</v>
      </c>
      <c r="G430" s="78"/>
      <c r="H430" s="78"/>
      <c r="I430" s="78"/>
      <c r="J430" s="78"/>
      <c r="K430" s="78"/>
      <c r="L430" s="78"/>
      <c r="M430" s="78"/>
      <c r="N430" s="78"/>
      <c r="O430" s="99" t="s">
        <v>971</v>
      </c>
      <c r="P430" s="78"/>
      <c r="Q430" s="78"/>
    </row>
    <row r="431" spans="1:17" ht="15" x14ac:dyDescent="0.25">
      <c r="A431" s="78">
        <v>424</v>
      </c>
      <c r="B431" s="85" t="s">
        <v>566</v>
      </c>
      <c r="C431" s="85" t="s">
        <v>195</v>
      </c>
      <c r="D431" s="83" t="s">
        <v>1543</v>
      </c>
      <c r="E431" s="79"/>
      <c r="F431" s="84" t="s">
        <v>1502</v>
      </c>
      <c r="G431" s="78"/>
      <c r="H431" s="78"/>
      <c r="I431" s="78"/>
      <c r="J431" s="78"/>
      <c r="K431" s="78"/>
      <c r="L431" s="78"/>
      <c r="M431" s="78"/>
      <c r="N431" s="78"/>
      <c r="O431" s="84" t="s">
        <v>1452</v>
      </c>
      <c r="P431" s="78"/>
      <c r="Q431" s="78"/>
    </row>
    <row r="432" spans="1:17" ht="15" x14ac:dyDescent="0.25">
      <c r="A432" s="78">
        <v>425</v>
      </c>
      <c r="B432" s="85" t="s">
        <v>566</v>
      </c>
      <c r="C432" s="85" t="s">
        <v>195</v>
      </c>
      <c r="D432" s="83" t="s">
        <v>887</v>
      </c>
      <c r="E432" s="79"/>
      <c r="F432" s="84" t="s">
        <v>1502</v>
      </c>
      <c r="G432" s="78"/>
      <c r="H432" s="78"/>
      <c r="I432" s="78"/>
      <c r="J432" s="78"/>
      <c r="K432" s="78"/>
      <c r="L432" s="78"/>
      <c r="M432" s="78"/>
      <c r="N432" s="78"/>
      <c r="O432" s="84" t="s">
        <v>1453</v>
      </c>
      <c r="P432" s="78"/>
      <c r="Q432" s="78"/>
    </row>
    <row r="433" spans="1:17" ht="15" x14ac:dyDescent="0.25">
      <c r="A433" s="78">
        <v>426</v>
      </c>
      <c r="B433" s="85" t="s">
        <v>566</v>
      </c>
      <c r="C433" s="85" t="s">
        <v>195</v>
      </c>
      <c r="D433" s="83" t="s">
        <v>888</v>
      </c>
      <c r="E433" s="79"/>
      <c r="F433" s="84" t="s">
        <v>1502</v>
      </c>
      <c r="G433" s="78"/>
      <c r="H433" s="78"/>
      <c r="I433" s="78"/>
      <c r="J433" s="78"/>
      <c r="K433" s="78"/>
      <c r="L433" s="78"/>
      <c r="M433" s="78"/>
      <c r="N433" s="78"/>
      <c r="O433" s="100" t="s">
        <v>972</v>
      </c>
      <c r="P433" s="78"/>
      <c r="Q433" s="78"/>
    </row>
    <row r="434" spans="1:17" ht="15" x14ac:dyDescent="0.25">
      <c r="A434" s="78">
        <v>427</v>
      </c>
      <c r="B434" s="85" t="s">
        <v>566</v>
      </c>
      <c r="C434" s="85" t="s">
        <v>195</v>
      </c>
      <c r="D434" s="83" t="s">
        <v>889</v>
      </c>
      <c r="E434" s="79"/>
      <c r="F434" s="84" t="s">
        <v>1502</v>
      </c>
      <c r="G434" s="78"/>
      <c r="H434" s="78"/>
      <c r="I434" s="78"/>
      <c r="J434" s="78"/>
      <c r="K434" s="78"/>
      <c r="L434" s="78"/>
      <c r="M434" s="78"/>
      <c r="N434" s="78"/>
      <c r="O434" s="84" t="s">
        <v>1454</v>
      </c>
      <c r="P434" s="78"/>
      <c r="Q434" s="78"/>
    </row>
    <row r="435" spans="1:17" ht="45" x14ac:dyDescent="0.25">
      <c r="A435" s="78">
        <v>428</v>
      </c>
      <c r="B435" s="85" t="s">
        <v>566</v>
      </c>
      <c r="C435" s="85" t="s">
        <v>595</v>
      </c>
      <c r="D435" s="83" t="s">
        <v>890</v>
      </c>
      <c r="E435" s="79"/>
      <c r="F435" s="83" t="s">
        <v>323</v>
      </c>
      <c r="G435" s="78"/>
      <c r="H435" s="78"/>
      <c r="I435" s="78"/>
      <c r="J435" s="78"/>
      <c r="K435" s="78"/>
      <c r="L435" s="78"/>
      <c r="M435" s="78"/>
      <c r="N435" s="78"/>
      <c r="O435" s="87" t="s">
        <v>1455</v>
      </c>
      <c r="P435" s="78"/>
      <c r="Q435" s="78"/>
    </row>
    <row r="436" spans="1:17" ht="15" x14ac:dyDescent="0.25">
      <c r="A436" s="78">
        <v>429</v>
      </c>
      <c r="B436" s="85" t="s">
        <v>566</v>
      </c>
      <c r="C436" s="85" t="s">
        <v>595</v>
      </c>
      <c r="D436" s="83" t="s">
        <v>891</v>
      </c>
      <c r="E436" s="79"/>
      <c r="F436" s="83" t="s">
        <v>918</v>
      </c>
      <c r="G436" s="78"/>
      <c r="H436" s="78"/>
      <c r="I436" s="78"/>
      <c r="J436" s="78"/>
      <c r="K436" s="78"/>
      <c r="L436" s="78"/>
      <c r="M436" s="78"/>
      <c r="N436" s="78"/>
      <c r="O436" s="84" t="s">
        <v>1456</v>
      </c>
      <c r="P436" s="78"/>
      <c r="Q436" s="78"/>
    </row>
    <row r="437" spans="1:17" ht="15" x14ac:dyDescent="0.25">
      <c r="A437" s="78">
        <v>430</v>
      </c>
      <c r="B437" s="85" t="s">
        <v>566</v>
      </c>
      <c r="C437" s="85" t="s">
        <v>595</v>
      </c>
      <c r="D437" s="83" t="s">
        <v>892</v>
      </c>
      <c r="E437" s="79"/>
      <c r="F437" s="84" t="s">
        <v>1502</v>
      </c>
      <c r="G437" s="78"/>
      <c r="H437" s="78"/>
      <c r="I437" s="78"/>
      <c r="J437" s="78"/>
      <c r="K437" s="78"/>
      <c r="L437" s="78"/>
      <c r="M437" s="78"/>
      <c r="N437" s="78"/>
      <c r="O437" s="84" t="s">
        <v>1457</v>
      </c>
      <c r="P437" s="78"/>
      <c r="Q437" s="78"/>
    </row>
    <row r="438" spans="1:17" ht="15" x14ac:dyDescent="0.25">
      <c r="A438" s="78">
        <v>431</v>
      </c>
      <c r="B438" s="85" t="s">
        <v>566</v>
      </c>
      <c r="C438" s="85" t="s">
        <v>595</v>
      </c>
      <c r="D438" s="83" t="s">
        <v>736</v>
      </c>
      <c r="E438" s="79"/>
      <c r="F438" s="84" t="s">
        <v>1502</v>
      </c>
      <c r="G438" s="78"/>
      <c r="H438" s="78"/>
      <c r="I438" s="78"/>
      <c r="J438" s="78"/>
      <c r="K438" s="78"/>
      <c r="L438" s="78"/>
      <c r="M438" s="78"/>
      <c r="N438" s="78"/>
      <c r="O438" s="84" t="s">
        <v>1458</v>
      </c>
      <c r="P438" s="78"/>
      <c r="Q438" s="78"/>
    </row>
    <row r="439" spans="1:17" ht="15" x14ac:dyDescent="0.25">
      <c r="A439" s="78">
        <v>432</v>
      </c>
      <c r="B439" s="85" t="s">
        <v>566</v>
      </c>
      <c r="C439" s="85" t="s">
        <v>595</v>
      </c>
      <c r="D439" s="83" t="s">
        <v>893</v>
      </c>
      <c r="E439" s="79"/>
      <c r="F439" s="84" t="s">
        <v>1502</v>
      </c>
      <c r="G439" s="78"/>
      <c r="H439" s="78"/>
      <c r="I439" s="78"/>
      <c r="J439" s="78"/>
      <c r="K439" s="78"/>
      <c r="L439" s="78"/>
      <c r="M439" s="78"/>
      <c r="N439" s="78"/>
      <c r="O439" s="84" t="s">
        <v>1459</v>
      </c>
      <c r="P439" s="78"/>
      <c r="Q439" s="78"/>
    </row>
    <row r="440" spans="1:17" ht="45" x14ac:dyDescent="0.25">
      <c r="A440" s="78">
        <v>433</v>
      </c>
      <c r="B440" s="85" t="s">
        <v>566</v>
      </c>
      <c r="C440" s="85" t="s">
        <v>595</v>
      </c>
      <c r="D440" s="84" t="s">
        <v>1083</v>
      </c>
      <c r="E440" s="79"/>
      <c r="F440" s="84" t="s">
        <v>1502</v>
      </c>
      <c r="G440" s="78"/>
      <c r="H440" s="78"/>
      <c r="I440" s="78"/>
      <c r="J440" s="78"/>
      <c r="K440" s="78"/>
      <c r="L440" s="78"/>
      <c r="M440" s="78"/>
      <c r="N440" s="78"/>
      <c r="O440" s="87" t="s">
        <v>1460</v>
      </c>
      <c r="P440" s="78"/>
      <c r="Q440" s="78"/>
    </row>
    <row r="441" spans="1:17" ht="15" x14ac:dyDescent="0.25">
      <c r="A441" s="78">
        <v>434</v>
      </c>
      <c r="B441" s="85" t="s">
        <v>566</v>
      </c>
      <c r="C441" s="85" t="s">
        <v>595</v>
      </c>
      <c r="D441" s="84" t="s">
        <v>1544</v>
      </c>
      <c r="E441" s="79"/>
      <c r="F441" s="84" t="s">
        <v>1502</v>
      </c>
      <c r="G441" s="78"/>
      <c r="H441" s="78"/>
      <c r="I441" s="78"/>
      <c r="J441" s="78"/>
      <c r="K441" s="78"/>
      <c r="L441" s="78"/>
      <c r="M441" s="78"/>
      <c r="N441" s="78"/>
      <c r="O441" s="98" t="s">
        <v>973</v>
      </c>
      <c r="P441" s="78"/>
      <c r="Q441" s="78"/>
    </row>
    <row r="442" spans="1:17" ht="15" x14ac:dyDescent="0.25">
      <c r="A442" s="78">
        <v>435</v>
      </c>
      <c r="B442" s="85" t="s">
        <v>566</v>
      </c>
      <c r="C442" s="85" t="s">
        <v>595</v>
      </c>
      <c r="D442" s="84" t="s">
        <v>1084</v>
      </c>
      <c r="E442" s="79"/>
      <c r="F442" s="84" t="s">
        <v>1502</v>
      </c>
      <c r="G442" s="78"/>
      <c r="H442" s="78"/>
      <c r="I442" s="78"/>
      <c r="J442" s="78"/>
      <c r="K442" s="78"/>
      <c r="L442" s="78"/>
      <c r="M442" s="78"/>
      <c r="N442" s="78"/>
      <c r="O442" s="84" t="s">
        <v>1497</v>
      </c>
      <c r="P442" s="78"/>
      <c r="Q442" s="78"/>
    </row>
    <row r="443" spans="1:17" ht="15" x14ac:dyDescent="0.25">
      <c r="A443" s="78">
        <v>436</v>
      </c>
      <c r="B443" s="85" t="s">
        <v>566</v>
      </c>
      <c r="C443" s="85" t="s">
        <v>595</v>
      </c>
      <c r="D443" s="84" t="s">
        <v>1085</v>
      </c>
      <c r="E443" s="79"/>
      <c r="F443" s="84" t="s">
        <v>1502</v>
      </c>
      <c r="G443" s="78"/>
      <c r="H443" s="78"/>
      <c r="I443" s="78"/>
      <c r="J443" s="78"/>
      <c r="K443" s="78"/>
      <c r="L443" s="78"/>
      <c r="M443" s="78"/>
      <c r="N443" s="78"/>
      <c r="O443" s="84" t="s">
        <v>1461</v>
      </c>
      <c r="P443" s="78"/>
      <c r="Q443" s="78"/>
    </row>
    <row r="444" spans="1:17" ht="15" x14ac:dyDescent="0.25">
      <c r="A444" s="78">
        <v>437</v>
      </c>
      <c r="B444" s="85" t="s">
        <v>566</v>
      </c>
      <c r="C444" s="85" t="s">
        <v>595</v>
      </c>
      <c r="D444" s="84" t="s">
        <v>1086</v>
      </c>
      <c r="E444" s="79"/>
      <c r="F444" s="84" t="s">
        <v>1502</v>
      </c>
      <c r="G444" s="78"/>
      <c r="H444" s="78"/>
      <c r="I444" s="78"/>
      <c r="J444" s="78"/>
      <c r="K444" s="78"/>
      <c r="L444" s="78"/>
      <c r="M444" s="78"/>
      <c r="N444" s="78"/>
      <c r="O444" s="84" t="s">
        <v>1462</v>
      </c>
      <c r="P444" s="78"/>
      <c r="Q444" s="78"/>
    </row>
    <row r="445" spans="1:17" ht="15" x14ac:dyDescent="0.25">
      <c r="A445" s="78">
        <v>438</v>
      </c>
      <c r="B445" s="85" t="s">
        <v>566</v>
      </c>
      <c r="C445" s="85" t="s">
        <v>596</v>
      </c>
      <c r="D445" s="84" t="s">
        <v>894</v>
      </c>
      <c r="E445" s="79"/>
      <c r="F445" s="83" t="s">
        <v>929</v>
      </c>
      <c r="G445" s="78"/>
      <c r="H445" s="78"/>
      <c r="I445" s="78"/>
      <c r="J445" s="78"/>
      <c r="K445" s="78"/>
      <c r="L445" s="78"/>
      <c r="M445" s="78"/>
      <c r="N445" s="78"/>
      <c r="O445" s="84" t="s">
        <v>1463</v>
      </c>
      <c r="P445" s="78"/>
      <c r="Q445" s="78"/>
    </row>
    <row r="446" spans="1:17" ht="15" x14ac:dyDescent="0.25">
      <c r="A446" s="78">
        <v>439</v>
      </c>
      <c r="B446" s="85" t="s">
        <v>566</v>
      </c>
      <c r="C446" s="85" t="s">
        <v>596</v>
      </c>
      <c r="D446" s="84" t="s">
        <v>895</v>
      </c>
      <c r="E446" s="79"/>
      <c r="F446" s="83" t="s">
        <v>930</v>
      </c>
      <c r="G446" s="78"/>
      <c r="H446" s="78"/>
      <c r="I446" s="78"/>
      <c r="J446" s="78"/>
      <c r="K446" s="78"/>
      <c r="L446" s="78"/>
      <c r="M446" s="78"/>
      <c r="N446" s="78"/>
      <c r="O446" s="84" t="s">
        <v>1464</v>
      </c>
      <c r="P446" s="78"/>
      <c r="Q446" s="78"/>
    </row>
    <row r="447" spans="1:17" ht="15" x14ac:dyDescent="0.25">
      <c r="A447" s="78">
        <v>440</v>
      </c>
      <c r="B447" s="85" t="s">
        <v>566</v>
      </c>
      <c r="C447" s="85" t="s">
        <v>596</v>
      </c>
      <c r="D447" s="84" t="s">
        <v>1087</v>
      </c>
      <c r="E447" s="79"/>
      <c r="F447" s="84"/>
      <c r="G447" s="78"/>
      <c r="H447" s="78"/>
      <c r="I447" s="78"/>
      <c r="J447" s="78"/>
      <c r="K447" s="78"/>
      <c r="L447" s="78"/>
      <c r="M447" s="78"/>
      <c r="N447" s="78"/>
      <c r="O447" s="84" t="s">
        <v>1465</v>
      </c>
      <c r="P447" s="78"/>
      <c r="Q447" s="78"/>
    </row>
    <row r="448" spans="1:17" ht="15" x14ac:dyDescent="0.25">
      <c r="A448" s="78">
        <v>441</v>
      </c>
      <c r="B448" s="85" t="s">
        <v>566</v>
      </c>
      <c r="C448" s="85" t="s">
        <v>596</v>
      </c>
      <c r="D448" s="84" t="s">
        <v>1088</v>
      </c>
      <c r="E448" s="79"/>
      <c r="F448" s="84"/>
      <c r="G448" s="78"/>
      <c r="H448" s="78"/>
      <c r="I448" s="78"/>
      <c r="J448" s="78"/>
      <c r="K448" s="78"/>
      <c r="L448" s="78"/>
      <c r="M448" s="78"/>
      <c r="N448" s="78"/>
      <c r="O448" s="84" t="s">
        <v>1466</v>
      </c>
      <c r="P448" s="78"/>
      <c r="Q448" s="78"/>
    </row>
    <row r="449" spans="1:17" ht="15" x14ac:dyDescent="0.25">
      <c r="A449" s="78">
        <v>442</v>
      </c>
      <c r="B449" s="85" t="s">
        <v>566</v>
      </c>
      <c r="C449" s="85" t="s">
        <v>596</v>
      </c>
      <c r="D449" s="84" t="s">
        <v>1089</v>
      </c>
      <c r="E449" s="79"/>
      <c r="F449" s="84"/>
      <c r="G449" s="78"/>
      <c r="H449" s="78"/>
      <c r="I449" s="78"/>
      <c r="J449" s="78"/>
      <c r="K449" s="78"/>
      <c r="L449" s="78"/>
      <c r="M449" s="78"/>
      <c r="N449" s="78"/>
      <c r="O449" s="84" t="s">
        <v>1467</v>
      </c>
      <c r="P449" s="78"/>
      <c r="Q449" s="78"/>
    </row>
    <row r="450" spans="1:17" ht="15" x14ac:dyDescent="0.25">
      <c r="A450" s="78">
        <v>443</v>
      </c>
      <c r="B450" s="95" t="s">
        <v>321</v>
      </c>
      <c r="C450" s="85" t="s">
        <v>579</v>
      </c>
      <c r="D450" s="83" t="s">
        <v>896</v>
      </c>
      <c r="E450" s="79"/>
      <c r="F450" s="83" t="s">
        <v>230</v>
      </c>
      <c r="G450" s="78"/>
      <c r="H450" s="78"/>
      <c r="I450" s="78"/>
      <c r="J450" s="78"/>
      <c r="K450" s="78"/>
      <c r="L450" s="78"/>
      <c r="M450" s="78"/>
      <c r="N450" s="78"/>
      <c r="O450" s="84" t="s">
        <v>1468</v>
      </c>
      <c r="P450" s="78"/>
      <c r="Q450" s="78"/>
    </row>
    <row r="451" spans="1:17" ht="15" x14ac:dyDescent="0.25">
      <c r="A451" s="78">
        <v>444</v>
      </c>
      <c r="B451" s="95" t="s">
        <v>321</v>
      </c>
      <c r="C451" s="85" t="s">
        <v>579</v>
      </c>
      <c r="D451" s="83" t="s">
        <v>897</v>
      </c>
      <c r="E451" s="79"/>
      <c r="F451" s="83" t="s">
        <v>923</v>
      </c>
      <c r="G451" s="78"/>
      <c r="H451" s="78"/>
      <c r="I451" s="78"/>
      <c r="J451" s="78"/>
      <c r="K451" s="78"/>
      <c r="L451" s="78"/>
      <c r="M451" s="78"/>
      <c r="N451" s="78"/>
      <c r="O451" s="84" t="s">
        <v>1469</v>
      </c>
      <c r="P451" s="78"/>
      <c r="Q451" s="78"/>
    </row>
    <row r="452" spans="1:17" ht="15" x14ac:dyDescent="0.25">
      <c r="A452" s="78">
        <v>445</v>
      </c>
      <c r="B452" s="95" t="s">
        <v>321</v>
      </c>
      <c r="C452" s="85" t="s">
        <v>597</v>
      </c>
      <c r="D452" s="83" t="s">
        <v>732</v>
      </c>
      <c r="E452" s="79"/>
      <c r="F452" s="84"/>
      <c r="G452" s="78"/>
      <c r="H452" s="78"/>
      <c r="I452" s="78"/>
      <c r="J452" s="78"/>
      <c r="K452" s="78"/>
      <c r="L452" s="78"/>
      <c r="M452" s="78"/>
      <c r="N452" s="78"/>
      <c r="O452" s="84" t="s">
        <v>1470</v>
      </c>
      <c r="P452" s="78"/>
      <c r="Q452" s="78"/>
    </row>
    <row r="453" spans="1:17" ht="15" x14ac:dyDescent="0.25">
      <c r="A453" s="78">
        <v>446</v>
      </c>
      <c r="B453" s="95" t="s">
        <v>321</v>
      </c>
      <c r="C453" s="85" t="s">
        <v>597</v>
      </c>
      <c r="D453" s="83" t="s">
        <v>898</v>
      </c>
      <c r="E453" s="79"/>
      <c r="F453" s="84"/>
      <c r="G453" s="78"/>
      <c r="H453" s="78"/>
      <c r="I453" s="78"/>
      <c r="J453" s="78"/>
      <c r="K453" s="78"/>
      <c r="L453" s="78"/>
      <c r="M453" s="78"/>
      <c r="N453" s="78"/>
      <c r="O453" s="84" t="s">
        <v>1471</v>
      </c>
      <c r="P453" s="78"/>
      <c r="Q453" s="78"/>
    </row>
    <row r="454" spans="1:17" ht="15" x14ac:dyDescent="0.25">
      <c r="A454" s="78">
        <v>447</v>
      </c>
      <c r="B454" s="95" t="s">
        <v>321</v>
      </c>
      <c r="C454" s="85" t="s">
        <v>597</v>
      </c>
      <c r="D454" s="83" t="s">
        <v>899</v>
      </c>
      <c r="E454" s="79"/>
      <c r="F454" s="84"/>
      <c r="G454" s="78"/>
      <c r="H454" s="78"/>
      <c r="I454" s="78"/>
      <c r="J454" s="78"/>
      <c r="K454" s="78"/>
      <c r="L454" s="78"/>
      <c r="M454" s="78"/>
      <c r="N454" s="78"/>
      <c r="O454" s="84" t="s">
        <v>1472</v>
      </c>
      <c r="P454" s="78"/>
      <c r="Q454" s="78"/>
    </row>
    <row r="455" spans="1:17" ht="15" x14ac:dyDescent="0.25">
      <c r="A455" s="78">
        <v>448</v>
      </c>
      <c r="B455" s="95" t="s">
        <v>321</v>
      </c>
      <c r="C455" s="85" t="s">
        <v>597</v>
      </c>
      <c r="D455" s="83" t="s">
        <v>900</v>
      </c>
      <c r="E455" s="79"/>
      <c r="F455" s="84"/>
      <c r="G455" s="78"/>
      <c r="H455" s="78"/>
      <c r="I455" s="78"/>
      <c r="J455" s="78"/>
      <c r="K455" s="78"/>
      <c r="L455" s="78"/>
      <c r="M455" s="78"/>
      <c r="N455" s="78"/>
      <c r="O455" s="84" t="s">
        <v>1473</v>
      </c>
      <c r="P455" s="78"/>
      <c r="Q455" s="78"/>
    </row>
    <row r="456" spans="1:17" ht="15" x14ac:dyDescent="0.25">
      <c r="A456" s="78">
        <v>449</v>
      </c>
      <c r="B456" s="95" t="s">
        <v>321</v>
      </c>
      <c r="C456" s="85" t="s">
        <v>597</v>
      </c>
      <c r="D456" s="83" t="s">
        <v>901</v>
      </c>
      <c r="E456" s="79"/>
      <c r="F456" s="84"/>
      <c r="G456" s="78"/>
      <c r="H456" s="78"/>
      <c r="I456" s="78"/>
      <c r="J456" s="78"/>
      <c r="K456" s="78"/>
      <c r="L456" s="78"/>
      <c r="M456" s="78"/>
      <c r="N456" s="78"/>
      <c r="O456" s="84" t="s">
        <v>1474</v>
      </c>
      <c r="P456" s="78"/>
      <c r="Q456" s="78"/>
    </row>
    <row r="457" spans="1:17" ht="15" x14ac:dyDescent="0.25">
      <c r="A457" s="78">
        <v>450</v>
      </c>
      <c r="B457" s="95" t="s">
        <v>321</v>
      </c>
      <c r="C457" s="85" t="s">
        <v>598</v>
      </c>
      <c r="D457" s="83" t="s">
        <v>902</v>
      </c>
      <c r="E457" s="79"/>
      <c r="F457" s="83"/>
      <c r="G457" s="78"/>
      <c r="H457" s="78"/>
      <c r="I457" s="78"/>
      <c r="J457" s="78"/>
      <c r="K457" s="78"/>
      <c r="L457" s="78"/>
      <c r="M457" s="78"/>
      <c r="N457" s="78"/>
      <c r="O457" s="84" t="s">
        <v>1475</v>
      </c>
      <c r="P457" s="78"/>
      <c r="Q457" s="78"/>
    </row>
    <row r="458" spans="1:17" ht="15" x14ac:dyDescent="0.25">
      <c r="A458" s="78">
        <v>451</v>
      </c>
      <c r="B458" s="95" t="s">
        <v>321</v>
      </c>
      <c r="C458" s="85" t="s">
        <v>599</v>
      </c>
      <c r="D458" s="83" t="s">
        <v>903</v>
      </c>
      <c r="E458" s="79"/>
      <c r="F458" s="84"/>
      <c r="G458" s="78"/>
      <c r="H458" s="78"/>
      <c r="I458" s="78"/>
      <c r="J458" s="78"/>
      <c r="K458" s="78"/>
      <c r="L458" s="78"/>
      <c r="M458" s="78"/>
      <c r="N458" s="78"/>
      <c r="O458" s="84" t="s">
        <v>1476</v>
      </c>
      <c r="P458" s="78"/>
      <c r="Q458" s="78"/>
    </row>
    <row r="459" spans="1:17" ht="15" x14ac:dyDescent="0.25">
      <c r="A459" s="78">
        <v>452</v>
      </c>
      <c r="B459" s="95" t="s">
        <v>321</v>
      </c>
      <c r="C459" s="85" t="s">
        <v>599</v>
      </c>
      <c r="D459" s="83" t="s">
        <v>904</v>
      </c>
      <c r="E459" s="79"/>
      <c r="F459" s="88"/>
      <c r="G459" s="78"/>
      <c r="H459" s="78"/>
      <c r="I459" s="78"/>
      <c r="J459" s="78"/>
      <c r="K459" s="78"/>
      <c r="L459" s="78"/>
      <c r="M459" s="78"/>
      <c r="N459" s="78"/>
      <c r="O459" s="84" t="s">
        <v>1477</v>
      </c>
      <c r="P459" s="78"/>
      <c r="Q459" s="78"/>
    </row>
    <row r="460" spans="1:17" ht="15" x14ac:dyDescent="0.25">
      <c r="A460" s="78">
        <v>453</v>
      </c>
      <c r="B460" s="95" t="s">
        <v>321</v>
      </c>
      <c r="C460" s="85" t="s">
        <v>599</v>
      </c>
      <c r="D460" s="83" t="s">
        <v>905</v>
      </c>
      <c r="E460" s="79"/>
      <c r="F460" s="87"/>
      <c r="G460" s="78"/>
      <c r="H460" s="78"/>
      <c r="I460" s="78"/>
      <c r="J460" s="78"/>
      <c r="K460" s="78"/>
      <c r="L460" s="78"/>
      <c r="M460" s="78"/>
      <c r="N460" s="78"/>
      <c r="O460" s="84" t="s">
        <v>1478</v>
      </c>
      <c r="P460" s="78"/>
      <c r="Q460" s="78"/>
    </row>
    <row r="461" spans="1:17" ht="15" x14ac:dyDescent="0.25">
      <c r="A461" s="78">
        <v>454</v>
      </c>
      <c r="B461" s="95" t="s">
        <v>321</v>
      </c>
      <c r="C461" s="85" t="s">
        <v>599</v>
      </c>
      <c r="D461" s="83" t="s">
        <v>906</v>
      </c>
      <c r="E461" s="79"/>
      <c r="F461" s="88"/>
      <c r="G461" s="78"/>
      <c r="H461" s="78"/>
      <c r="I461" s="78"/>
      <c r="J461" s="78"/>
      <c r="K461" s="78"/>
      <c r="L461" s="78"/>
      <c r="M461" s="78"/>
      <c r="N461" s="78"/>
      <c r="O461" s="84" t="s">
        <v>1479</v>
      </c>
      <c r="P461" s="78"/>
      <c r="Q461" s="78"/>
    </row>
    <row r="462" spans="1:17" ht="15" x14ac:dyDescent="0.25">
      <c r="A462" s="78">
        <v>455</v>
      </c>
      <c r="B462" s="95" t="s">
        <v>321</v>
      </c>
      <c r="C462" s="85" t="s">
        <v>599</v>
      </c>
      <c r="D462" s="83" t="s">
        <v>907</v>
      </c>
      <c r="E462" s="79"/>
      <c r="F462" s="88"/>
      <c r="G462" s="78"/>
      <c r="H462" s="78"/>
      <c r="I462" s="78"/>
      <c r="J462" s="78"/>
      <c r="K462" s="78"/>
      <c r="L462" s="78"/>
      <c r="M462" s="78"/>
      <c r="N462" s="78"/>
      <c r="O462" s="84" t="s">
        <v>1480</v>
      </c>
      <c r="P462" s="78"/>
      <c r="Q462" s="78"/>
    </row>
    <row r="463" spans="1:17" ht="15" x14ac:dyDescent="0.25">
      <c r="A463" s="78">
        <v>456</v>
      </c>
      <c r="B463" s="95" t="s">
        <v>321</v>
      </c>
      <c r="C463" s="85" t="s">
        <v>599</v>
      </c>
      <c r="D463" s="83" t="s">
        <v>908</v>
      </c>
      <c r="E463" s="79"/>
      <c r="F463" s="88"/>
      <c r="G463" s="78"/>
      <c r="H463" s="78"/>
      <c r="I463" s="78"/>
      <c r="J463" s="78"/>
      <c r="K463" s="78"/>
      <c r="L463" s="78"/>
      <c r="M463" s="78"/>
      <c r="N463" s="78"/>
      <c r="O463" s="84" t="s">
        <v>1481</v>
      </c>
      <c r="P463" s="78"/>
      <c r="Q463" s="78"/>
    </row>
    <row r="464" spans="1:17" ht="15" x14ac:dyDescent="0.25">
      <c r="A464" s="78">
        <v>457</v>
      </c>
      <c r="B464" s="95" t="s">
        <v>321</v>
      </c>
      <c r="C464" s="85" t="s">
        <v>600</v>
      </c>
      <c r="D464" s="83" t="s">
        <v>909</v>
      </c>
      <c r="E464" s="79"/>
      <c r="F464" s="88"/>
      <c r="G464" s="78"/>
      <c r="H464" s="78"/>
      <c r="I464" s="78"/>
      <c r="J464" s="78"/>
      <c r="K464" s="78"/>
      <c r="L464" s="78"/>
      <c r="M464" s="78"/>
      <c r="N464" s="78"/>
      <c r="O464" s="84" t="s">
        <v>1482</v>
      </c>
      <c r="P464" s="78"/>
      <c r="Q464" s="78"/>
    </row>
    <row r="465" spans="1:17" ht="15" x14ac:dyDescent="0.25">
      <c r="A465" s="78">
        <v>458</v>
      </c>
      <c r="B465" s="95" t="s">
        <v>321</v>
      </c>
      <c r="C465" s="85" t="s">
        <v>600</v>
      </c>
      <c r="D465" s="83" t="s">
        <v>910</v>
      </c>
      <c r="E465" s="79"/>
      <c r="F465" s="84"/>
      <c r="G465" s="78"/>
      <c r="H465" s="78"/>
      <c r="I465" s="78"/>
      <c r="J465" s="78"/>
      <c r="K465" s="78"/>
      <c r="L465" s="78"/>
      <c r="M465" s="78"/>
      <c r="N465" s="78"/>
      <c r="O465" s="84" t="s">
        <v>1483</v>
      </c>
      <c r="P465" s="78"/>
      <c r="Q465" s="78"/>
    </row>
    <row r="466" spans="1:17" ht="15" x14ac:dyDescent="0.25">
      <c r="A466" s="78">
        <v>459</v>
      </c>
      <c r="B466" s="95" t="s">
        <v>321</v>
      </c>
      <c r="C466" s="85" t="s">
        <v>600</v>
      </c>
      <c r="D466" s="83" t="s">
        <v>911</v>
      </c>
      <c r="E466" s="79"/>
      <c r="F466" s="84"/>
      <c r="G466" s="78"/>
      <c r="H466" s="78"/>
      <c r="I466" s="78"/>
      <c r="J466" s="78"/>
      <c r="K466" s="78"/>
      <c r="L466" s="78"/>
      <c r="M466" s="78"/>
      <c r="N466" s="78"/>
      <c r="O466" s="84" t="s">
        <v>1484</v>
      </c>
      <c r="P466" s="78"/>
      <c r="Q466" s="78"/>
    </row>
    <row r="467" spans="1:17" ht="15" x14ac:dyDescent="0.25">
      <c r="A467" s="78">
        <v>460</v>
      </c>
      <c r="B467" s="95" t="s">
        <v>321</v>
      </c>
      <c r="C467" s="85" t="s">
        <v>601</v>
      </c>
      <c r="D467" s="83" t="s">
        <v>912</v>
      </c>
      <c r="E467" s="79"/>
      <c r="F467" s="83" t="s">
        <v>323</v>
      </c>
      <c r="G467" s="78"/>
      <c r="H467" s="78"/>
      <c r="I467" s="78"/>
      <c r="J467" s="78"/>
      <c r="K467" s="78"/>
      <c r="L467" s="78"/>
      <c r="M467" s="78"/>
      <c r="N467" s="78"/>
      <c r="O467" s="84" t="s">
        <v>1485</v>
      </c>
      <c r="P467" s="78"/>
      <c r="Q467" s="78"/>
    </row>
    <row r="468" spans="1:17" ht="15" x14ac:dyDescent="0.25">
      <c r="A468" s="78">
        <v>461</v>
      </c>
      <c r="B468" s="95" t="s">
        <v>321</v>
      </c>
      <c r="C468" s="85" t="s">
        <v>601</v>
      </c>
      <c r="D468" s="83" t="s">
        <v>913</v>
      </c>
      <c r="E468" s="79"/>
      <c r="F468" s="84"/>
      <c r="G468" s="78"/>
      <c r="H468" s="78"/>
      <c r="I468" s="78"/>
      <c r="J468" s="78"/>
      <c r="K468" s="78"/>
      <c r="L468" s="78"/>
      <c r="M468" s="78"/>
      <c r="N468" s="78"/>
      <c r="O468" s="84" t="s">
        <v>1486</v>
      </c>
      <c r="P468" s="78"/>
      <c r="Q468" s="78"/>
    </row>
    <row r="469" spans="1:17" ht="15" x14ac:dyDescent="0.25">
      <c r="A469" s="78">
        <v>462</v>
      </c>
      <c r="B469" s="95" t="s">
        <v>321</v>
      </c>
      <c r="C469" s="85" t="s">
        <v>601</v>
      </c>
      <c r="D469" s="83" t="s">
        <v>914</v>
      </c>
      <c r="E469" s="79"/>
      <c r="F469" s="84"/>
      <c r="G469" s="78"/>
      <c r="H469" s="78"/>
      <c r="I469" s="78"/>
      <c r="J469" s="78"/>
      <c r="K469" s="78"/>
      <c r="L469" s="78"/>
      <c r="M469" s="78"/>
      <c r="N469" s="78"/>
      <c r="O469" s="84" t="s">
        <v>1487</v>
      </c>
      <c r="P469" s="78"/>
      <c r="Q469" s="78"/>
    </row>
    <row r="470" spans="1:17" ht="15" x14ac:dyDescent="0.25">
      <c r="A470" s="78">
        <v>463</v>
      </c>
      <c r="B470" s="95" t="s">
        <v>321</v>
      </c>
      <c r="C470" s="85" t="s">
        <v>601</v>
      </c>
      <c r="D470" s="83" t="s">
        <v>915</v>
      </c>
      <c r="E470" s="79"/>
      <c r="F470" s="84"/>
      <c r="G470" s="78"/>
      <c r="H470" s="78"/>
      <c r="I470" s="78"/>
      <c r="J470" s="78"/>
      <c r="K470" s="78"/>
      <c r="L470" s="78"/>
      <c r="M470" s="78"/>
      <c r="N470" s="78"/>
      <c r="O470" s="84" t="s">
        <v>1488</v>
      </c>
      <c r="P470" s="78"/>
      <c r="Q470" s="78"/>
    </row>
    <row r="471" spans="1:17" ht="15" x14ac:dyDescent="0.25">
      <c r="A471" s="78">
        <v>464</v>
      </c>
      <c r="B471" s="95" t="s">
        <v>321</v>
      </c>
      <c r="C471" s="85" t="s">
        <v>602</v>
      </c>
      <c r="D471" s="83" t="s">
        <v>1090</v>
      </c>
      <c r="E471" s="79"/>
      <c r="F471" s="84"/>
      <c r="G471" s="78"/>
      <c r="H471" s="78"/>
      <c r="I471" s="78"/>
      <c r="J471" s="78"/>
      <c r="K471" s="78"/>
      <c r="L471" s="78"/>
      <c r="M471" s="78"/>
      <c r="N471" s="78"/>
      <c r="O471" s="84" t="s">
        <v>1489</v>
      </c>
      <c r="P471" s="78"/>
      <c r="Q471" s="78"/>
    </row>
    <row r="472" spans="1:17" ht="15" x14ac:dyDescent="0.25">
      <c r="A472" s="78">
        <v>465</v>
      </c>
      <c r="B472" s="95" t="s">
        <v>321</v>
      </c>
      <c r="C472" s="85" t="s">
        <v>602</v>
      </c>
      <c r="D472" s="83" t="s">
        <v>1091</v>
      </c>
      <c r="E472" s="79"/>
      <c r="F472" s="84"/>
      <c r="G472" s="78"/>
      <c r="H472" s="78"/>
      <c r="I472" s="78"/>
      <c r="J472" s="78"/>
      <c r="K472" s="78"/>
      <c r="L472" s="78"/>
      <c r="M472" s="78"/>
      <c r="N472" s="78"/>
      <c r="O472" s="84" t="s">
        <v>1498</v>
      </c>
      <c r="P472" s="78"/>
      <c r="Q472" s="78"/>
    </row>
    <row r="473" spans="1:17" ht="15" x14ac:dyDescent="0.25">
      <c r="A473" s="78">
        <v>466</v>
      </c>
      <c r="B473" s="95" t="s">
        <v>321</v>
      </c>
      <c r="C473" s="85" t="s">
        <v>602</v>
      </c>
      <c r="D473" s="83" t="s">
        <v>1092</v>
      </c>
      <c r="E473" s="79"/>
      <c r="F473" s="84"/>
      <c r="G473" s="78"/>
      <c r="H473" s="78"/>
      <c r="I473" s="78"/>
      <c r="J473" s="78"/>
      <c r="K473" s="78"/>
      <c r="L473" s="78"/>
      <c r="M473" s="78"/>
      <c r="N473" s="78"/>
      <c r="O473" s="84" t="s">
        <v>1499</v>
      </c>
      <c r="P473" s="78"/>
      <c r="Q473" s="78"/>
    </row>
    <row r="474" spans="1:17" ht="15" x14ac:dyDescent="0.25">
      <c r="A474" s="78">
        <v>467</v>
      </c>
      <c r="B474" s="95" t="s">
        <v>321</v>
      </c>
      <c r="C474" s="85" t="s">
        <v>602</v>
      </c>
      <c r="D474" s="83" t="s">
        <v>1093</v>
      </c>
      <c r="E474" s="79"/>
      <c r="F474" s="84"/>
      <c r="G474" s="78"/>
      <c r="H474" s="78"/>
      <c r="I474" s="78"/>
      <c r="J474" s="78"/>
      <c r="K474" s="78"/>
      <c r="L474" s="78"/>
      <c r="M474" s="78"/>
      <c r="N474" s="78"/>
      <c r="O474" s="84" t="s">
        <v>1490</v>
      </c>
      <c r="P474" s="78"/>
      <c r="Q474" s="78"/>
    </row>
    <row r="475" spans="1:17" ht="15" x14ac:dyDescent="0.25">
      <c r="A475" s="78">
        <v>468</v>
      </c>
      <c r="B475" s="95" t="s">
        <v>321</v>
      </c>
      <c r="C475" s="85" t="s">
        <v>602</v>
      </c>
      <c r="D475" s="83" t="s">
        <v>1094</v>
      </c>
      <c r="E475" s="79"/>
      <c r="F475" s="84"/>
      <c r="G475" s="78"/>
      <c r="H475" s="78"/>
      <c r="I475" s="78"/>
      <c r="J475" s="78"/>
      <c r="K475" s="78"/>
      <c r="L475" s="78"/>
      <c r="M475" s="78"/>
      <c r="N475" s="78"/>
      <c r="O475" s="84" t="s">
        <v>1500</v>
      </c>
      <c r="P475" s="78"/>
      <c r="Q475" s="78"/>
    </row>
    <row r="476" spans="1:17" ht="15" x14ac:dyDescent="0.25">
      <c r="A476" s="78">
        <v>469</v>
      </c>
      <c r="B476" s="95" t="s">
        <v>1523</v>
      </c>
      <c r="C476" s="85" t="s">
        <v>602</v>
      </c>
      <c r="D476" s="83" t="s">
        <v>1095</v>
      </c>
      <c r="E476" s="79"/>
      <c r="F476" s="84"/>
      <c r="G476" s="78"/>
      <c r="H476" s="78"/>
      <c r="I476" s="78"/>
      <c r="J476" s="78"/>
      <c r="K476" s="78"/>
      <c r="L476" s="78"/>
      <c r="M476" s="78"/>
      <c r="N476" s="78"/>
      <c r="O476" s="84" t="s">
        <v>1524</v>
      </c>
      <c r="P476" s="78"/>
      <c r="Q476" s="78"/>
    </row>
    <row r="477" spans="1:17" x14ac:dyDescent="0.2">
      <c r="G477" s="1"/>
    </row>
    <row r="478" spans="1:17" x14ac:dyDescent="0.2">
      <c r="G478" s="1"/>
    </row>
    <row r="479" spans="1:17" x14ac:dyDescent="0.2">
      <c r="G479" s="1"/>
    </row>
    <row r="480" spans="1:1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9" spans="7:7" x14ac:dyDescent="0.2">
      <c r="G489" s="1"/>
    </row>
    <row r="492" spans="7:7" x14ac:dyDescent="0.2">
      <c r="G492" s="1"/>
    </row>
    <row r="493" spans="7:7" x14ac:dyDescent="0.2">
      <c r="G493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DLG_DinhMuc">
    <tabColor theme="9" tint="0.39997558519241921"/>
  </sheetPr>
  <dimension ref="A1:AB41"/>
  <sheetViews>
    <sheetView showGridLines="0" topLeftCell="S1" zoomScaleNormal="100" workbookViewId="0">
      <selection activeCell="AB13" sqref="AB13"/>
    </sheetView>
  </sheetViews>
  <sheetFormatPr defaultColWidth="8.75" defaultRowHeight="14.25" x14ac:dyDescent="0.2"/>
  <cols>
    <col min="1" max="1" width="45.875" style="71" customWidth="1"/>
    <col min="2" max="2" width="27.875" style="71" customWidth="1"/>
    <col min="3" max="3" width="13.375" style="71" customWidth="1"/>
    <col min="4" max="4" width="14" style="71" customWidth="1"/>
    <col min="5" max="5" width="19.625" style="71" customWidth="1"/>
    <col min="6" max="6" width="11" style="71" customWidth="1"/>
    <col min="7" max="10" width="8.75" style="71"/>
    <col min="11" max="11" width="23.625" style="71" customWidth="1"/>
    <col min="12" max="27" width="8.75" style="71"/>
    <col min="28" max="28" width="57" style="71" customWidth="1"/>
    <col min="29" max="16384" width="8.75" style="71"/>
  </cols>
  <sheetData>
    <row r="1" spans="1:28" x14ac:dyDescent="0.2">
      <c r="A1" s="71" t="s">
        <v>541</v>
      </c>
      <c r="K1" s="162" t="s">
        <v>3825</v>
      </c>
      <c r="AA1" s="194" t="s">
        <v>4016</v>
      </c>
    </row>
    <row r="3" spans="1:28" ht="15" x14ac:dyDescent="0.25">
      <c r="A3" s="70" t="s">
        <v>513</v>
      </c>
      <c r="B3" s="70" t="s">
        <v>514</v>
      </c>
      <c r="C3" s="70" t="s">
        <v>1</v>
      </c>
      <c r="D3" s="70" t="s">
        <v>1548</v>
      </c>
      <c r="E3" s="70" t="s">
        <v>515</v>
      </c>
      <c r="F3" s="70" t="s">
        <v>516</v>
      </c>
      <c r="K3" s="70" t="s">
        <v>3826</v>
      </c>
      <c r="L3" s="70" t="s">
        <v>3827</v>
      </c>
      <c r="AA3" s="194" t="s">
        <v>62</v>
      </c>
      <c r="AB3" s="194" t="s">
        <v>4017</v>
      </c>
    </row>
    <row r="4" spans="1:28" ht="15" x14ac:dyDescent="0.2">
      <c r="A4" s="72" t="s">
        <v>517</v>
      </c>
      <c r="B4" s="124" t="s">
        <v>361</v>
      </c>
      <c r="C4" s="72" t="s">
        <v>518</v>
      </c>
      <c r="D4" s="165">
        <v>1</v>
      </c>
      <c r="E4" s="165">
        <v>0.8</v>
      </c>
      <c r="F4" s="165">
        <v>0.6</v>
      </c>
      <c r="K4" s="163" t="s">
        <v>3829</v>
      </c>
      <c r="L4" s="165">
        <v>1.8</v>
      </c>
      <c r="AB4" s="195" t="s">
        <v>4018</v>
      </c>
    </row>
    <row r="5" spans="1:28" ht="15" x14ac:dyDescent="0.2">
      <c r="A5" s="72" t="s">
        <v>517</v>
      </c>
      <c r="B5" s="124" t="s">
        <v>1622</v>
      </c>
      <c r="C5" s="72" t="s">
        <v>518</v>
      </c>
      <c r="D5" s="165">
        <v>0.3</v>
      </c>
      <c r="E5" s="165">
        <v>0.24</v>
      </c>
      <c r="F5" s="165">
        <v>0.18</v>
      </c>
      <c r="K5" s="163" t="s">
        <v>3830</v>
      </c>
      <c r="L5" s="165">
        <v>30</v>
      </c>
      <c r="AB5" s="195" t="s">
        <v>4019</v>
      </c>
    </row>
    <row r="6" spans="1:28" ht="15" x14ac:dyDescent="0.2">
      <c r="A6" s="72" t="s">
        <v>517</v>
      </c>
      <c r="B6" s="124" t="s">
        <v>313</v>
      </c>
      <c r="C6" s="72" t="s">
        <v>518</v>
      </c>
      <c r="D6" s="165">
        <v>0.8</v>
      </c>
      <c r="E6" s="165">
        <v>0.64</v>
      </c>
      <c r="F6" s="165">
        <v>0.48</v>
      </c>
      <c r="K6" s="72"/>
      <c r="L6" s="72"/>
      <c r="AB6" s="195" t="s">
        <v>4020</v>
      </c>
    </row>
    <row r="7" spans="1:28" ht="15" x14ac:dyDescent="0.2">
      <c r="A7" s="72" t="s">
        <v>517</v>
      </c>
      <c r="B7" s="124" t="s">
        <v>314</v>
      </c>
      <c r="C7" s="72" t="s">
        <v>518</v>
      </c>
      <c r="D7" s="165">
        <v>0.4</v>
      </c>
      <c r="E7" s="165">
        <v>0.32</v>
      </c>
      <c r="F7" s="165">
        <v>0.24</v>
      </c>
      <c r="K7" s="164"/>
      <c r="L7" s="72"/>
      <c r="AB7" s="195" t="s">
        <v>4021</v>
      </c>
    </row>
    <row r="8" spans="1:28" ht="15" x14ac:dyDescent="0.2">
      <c r="A8" s="72" t="s">
        <v>517</v>
      </c>
      <c r="B8" s="124" t="s">
        <v>1623</v>
      </c>
      <c r="C8" s="72" t="s">
        <v>518</v>
      </c>
      <c r="D8" s="165">
        <v>0.2</v>
      </c>
      <c r="E8" s="165">
        <v>0.16</v>
      </c>
      <c r="F8" s="165">
        <v>0.12</v>
      </c>
      <c r="K8" s="72"/>
      <c r="L8" s="72"/>
      <c r="AB8" s="195" t="s">
        <v>4022</v>
      </c>
    </row>
    <row r="9" spans="1:28" ht="15" x14ac:dyDescent="0.2">
      <c r="A9" s="72" t="s">
        <v>519</v>
      </c>
      <c r="B9" s="72" t="s">
        <v>520</v>
      </c>
      <c r="C9" s="72" t="s">
        <v>521</v>
      </c>
      <c r="D9" s="167">
        <v>2</v>
      </c>
      <c r="E9" s="167">
        <v>2</v>
      </c>
      <c r="F9" s="167">
        <v>1.5</v>
      </c>
      <c r="G9" s="166"/>
      <c r="K9" s="72"/>
      <c r="L9" s="72"/>
      <c r="AB9" s="195" t="s">
        <v>4023</v>
      </c>
    </row>
    <row r="10" spans="1:28" ht="15" x14ac:dyDescent="0.2">
      <c r="A10" s="72" t="s">
        <v>519</v>
      </c>
      <c r="B10" s="72" t="s">
        <v>522</v>
      </c>
      <c r="C10" s="72" t="s">
        <v>521</v>
      </c>
      <c r="D10" s="167">
        <v>0.5</v>
      </c>
      <c r="E10" s="167">
        <v>0.5</v>
      </c>
      <c r="F10" s="167">
        <v>0.39999999999999997</v>
      </c>
      <c r="G10" s="166"/>
      <c r="K10" s="72"/>
      <c r="L10" s="72"/>
      <c r="AB10" s="195" t="s">
        <v>4024</v>
      </c>
    </row>
    <row r="11" spans="1:28" ht="15" x14ac:dyDescent="0.2">
      <c r="A11" s="72" t="s">
        <v>519</v>
      </c>
      <c r="B11" s="72" t="s">
        <v>523</v>
      </c>
      <c r="C11" s="72" t="s">
        <v>524</v>
      </c>
      <c r="D11" s="167">
        <v>3</v>
      </c>
      <c r="E11" s="167">
        <v>3</v>
      </c>
      <c r="F11" s="167">
        <v>2</v>
      </c>
      <c r="G11" s="166"/>
      <c r="K11" s="72"/>
      <c r="L11" s="72"/>
      <c r="AB11" s="195" t="s">
        <v>4025</v>
      </c>
    </row>
    <row r="12" spans="1:28" ht="15" x14ac:dyDescent="0.2">
      <c r="A12" s="72" t="s">
        <v>519</v>
      </c>
      <c r="B12" s="72" t="s">
        <v>525</v>
      </c>
      <c r="C12" s="72" t="s">
        <v>524</v>
      </c>
      <c r="D12" s="167">
        <v>1.5</v>
      </c>
      <c r="E12" s="167">
        <v>1.5</v>
      </c>
      <c r="F12" s="167">
        <v>1.2</v>
      </c>
      <c r="G12" s="166"/>
      <c r="K12" s="72"/>
      <c r="L12" s="72"/>
      <c r="AB12" s="195" t="s">
        <v>4026</v>
      </c>
    </row>
    <row r="13" spans="1:28" ht="30" x14ac:dyDescent="0.2">
      <c r="A13" s="72" t="s">
        <v>519</v>
      </c>
      <c r="B13" s="72" t="s">
        <v>526</v>
      </c>
      <c r="C13" s="72" t="s">
        <v>527</v>
      </c>
      <c r="D13" s="167">
        <v>0.3</v>
      </c>
      <c r="E13" s="167">
        <v>0.3</v>
      </c>
      <c r="F13" s="167">
        <v>0.19999999999999998</v>
      </c>
      <c r="G13" s="166"/>
      <c r="K13" s="72"/>
      <c r="L13" s="72"/>
      <c r="AB13" s="196" t="s">
        <v>4027</v>
      </c>
    </row>
    <row r="14" spans="1:28" ht="15" x14ac:dyDescent="0.2">
      <c r="A14" s="72" t="s">
        <v>528</v>
      </c>
      <c r="B14" s="108" t="s">
        <v>386</v>
      </c>
      <c r="C14" s="168" t="s">
        <v>3831</v>
      </c>
      <c r="D14" s="167">
        <v>1.5</v>
      </c>
      <c r="E14" s="167">
        <v>1.5</v>
      </c>
      <c r="F14" s="167">
        <v>1.2</v>
      </c>
      <c r="G14" s="166"/>
      <c r="K14" s="72"/>
      <c r="L14" s="72"/>
      <c r="AB14" s="195" t="s">
        <v>4028</v>
      </c>
    </row>
    <row r="15" spans="1:28" ht="15" x14ac:dyDescent="0.2">
      <c r="A15" s="72" t="s">
        <v>528</v>
      </c>
      <c r="B15" s="72" t="s">
        <v>530</v>
      </c>
      <c r="C15" s="74" t="s">
        <v>3831</v>
      </c>
      <c r="D15" s="167">
        <v>1</v>
      </c>
      <c r="E15" s="167">
        <v>1</v>
      </c>
      <c r="F15" s="167">
        <v>0.7</v>
      </c>
      <c r="G15" s="166"/>
      <c r="K15" s="72"/>
      <c r="L15" s="72"/>
      <c r="AB15" s="195" t="s">
        <v>4029</v>
      </c>
    </row>
    <row r="16" spans="1:28" ht="15" x14ac:dyDescent="0.2">
      <c r="A16" s="72" t="s">
        <v>528</v>
      </c>
      <c r="B16" s="72" t="s">
        <v>531</v>
      </c>
      <c r="C16" s="74" t="s">
        <v>3831</v>
      </c>
      <c r="D16" s="167">
        <v>1</v>
      </c>
      <c r="E16" s="167">
        <v>1</v>
      </c>
      <c r="F16" s="167">
        <v>0.7</v>
      </c>
      <c r="G16" s="166"/>
      <c r="K16" s="72"/>
      <c r="L16" s="72"/>
      <c r="AB16" s="195" t="s">
        <v>4030</v>
      </c>
    </row>
    <row r="17" spans="1:28" ht="15" x14ac:dyDescent="0.2">
      <c r="A17" s="72" t="s">
        <v>528</v>
      </c>
      <c r="B17" s="72" t="s">
        <v>522</v>
      </c>
      <c r="C17" s="74" t="s">
        <v>3831</v>
      </c>
      <c r="D17" s="167">
        <v>0.3</v>
      </c>
      <c r="E17" s="167">
        <v>0.3</v>
      </c>
      <c r="F17" s="167">
        <v>0.19999999999999998</v>
      </c>
      <c r="G17" s="166"/>
      <c r="K17" s="72"/>
      <c r="L17" s="72"/>
      <c r="AB17" s="195" t="s">
        <v>4031</v>
      </c>
    </row>
    <row r="18" spans="1:28" ht="15" x14ac:dyDescent="0.2">
      <c r="A18" s="72" t="s">
        <v>528</v>
      </c>
      <c r="B18" s="72" t="s">
        <v>532</v>
      </c>
      <c r="C18" s="74" t="s">
        <v>3831</v>
      </c>
      <c r="D18" s="167">
        <v>0.3</v>
      </c>
      <c r="E18" s="167">
        <v>0.3</v>
      </c>
      <c r="F18" s="167">
        <v>0.19999999999999998</v>
      </c>
      <c r="G18" s="166"/>
      <c r="K18" s="72"/>
      <c r="L18" s="72"/>
      <c r="AB18" s="195" t="s">
        <v>4032</v>
      </c>
    </row>
    <row r="19" spans="1:28" ht="15" x14ac:dyDescent="0.2">
      <c r="A19" s="72" t="s">
        <v>528</v>
      </c>
      <c r="B19" s="72" t="s">
        <v>489</v>
      </c>
      <c r="C19" s="74" t="s">
        <v>3831</v>
      </c>
      <c r="D19" s="167">
        <v>0.19999999999999998</v>
      </c>
      <c r="E19" s="167">
        <v>0.19999999999999998</v>
      </c>
      <c r="F19" s="167">
        <v>9.9999999999999992E-2</v>
      </c>
      <c r="G19" s="166"/>
      <c r="K19" s="72"/>
      <c r="L19" s="72"/>
      <c r="AB19" s="195" t="s">
        <v>4033</v>
      </c>
    </row>
    <row r="20" spans="1:28" ht="15" x14ac:dyDescent="0.2">
      <c r="A20" s="72" t="s">
        <v>528</v>
      </c>
      <c r="B20" s="72" t="s">
        <v>533</v>
      </c>
      <c r="C20" s="74" t="s">
        <v>3832</v>
      </c>
      <c r="D20" s="167">
        <v>0.5</v>
      </c>
      <c r="E20" s="167">
        <v>0.5</v>
      </c>
      <c r="F20" s="167">
        <v>0.3</v>
      </c>
      <c r="G20" s="166"/>
      <c r="K20" s="72"/>
      <c r="L20" s="72"/>
      <c r="AB20" s="195" t="s">
        <v>4034</v>
      </c>
    </row>
    <row r="21" spans="1:28" ht="15" x14ac:dyDescent="0.2">
      <c r="A21" s="72" t="s">
        <v>528</v>
      </c>
      <c r="B21" s="72" t="s">
        <v>535</v>
      </c>
      <c r="C21" s="74" t="s">
        <v>3832</v>
      </c>
      <c r="D21" s="167">
        <v>0.7</v>
      </c>
      <c r="E21" s="167">
        <v>0.7</v>
      </c>
      <c r="F21" s="167">
        <v>0.5</v>
      </c>
      <c r="G21" s="166"/>
      <c r="K21" s="72"/>
      <c r="L21" s="72"/>
      <c r="AB21" s="197" t="s">
        <v>4035</v>
      </c>
    </row>
    <row r="22" spans="1:28" ht="43.9" customHeight="1" x14ac:dyDescent="0.2">
      <c r="A22" s="72" t="s">
        <v>536</v>
      </c>
      <c r="B22" s="108" t="s">
        <v>386</v>
      </c>
      <c r="C22" s="74" t="s">
        <v>3831</v>
      </c>
      <c r="D22" s="167">
        <v>1.7999999999999998</v>
      </c>
      <c r="E22" s="167">
        <v>1.7999999999999998</v>
      </c>
      <c r="F22" s="167">
        <v>1.5</v>
      </c>
      <c r="G22" s="166"/>
      <c r="AB22" s="196" t="s">
        <v>4036</v>
      </c>
    </row>
    <row r="23" spans="1:28" ht="15" x14ac:dyDescent="0.2">
      <c r="A23" s="72" t="s">
        <v>536</v>
      </c>
      <c r="B23" s="72" t="s">
        <v>530</v>
      </c>
      <c r="C23" s="74" t="s">
        <v>3831</v>
      </c>
      <c r="D23" s="167">
        <v>1.5</v>
      </c>
      <c r="E23" s="167">
        <v>1.5</v>
      </c>
      <c r="F23" s="167">
        <v>1.2</v>
      </c>
      <c r="G23" s="166"/>
      <c r="AB23" s="195" t="s">
        <v>4037</v>
      </c>
    </row>
    <row r="24" spans="1:28" ht="15" x14ac:dyDescent="0.2">
      <c r="A24" s="72" t="s">
        <v>536</v>
      </c>
      <c r="B24" s="72" t="s">
        <v>531</v>
      </c>
      <c r="C24" s="74" t="s">
        <v>3831</v>
      </c>
      <c r="D24" s="167">
        <v>1.5</v>
      </c>
      <c r="E24" s="167">
        <v>1.5</v>
      </c>
      <c r="F24" s="167">
        <v>1.2</v>
      </c>
      <c r="G24" s="166"/>
      <c r="AB24" s="195" t="s">
        <v>4038</v>
      </c>
    </row>
    <row r="25" spans="1:28" ht="15" x14ac:dyDescent="0.2">
      <c r="A25" s="72" t="s">
        <v>536</v>
      </c>
      <c r="B25" s="72" t="s">
        <v>522</v>
      </c>
      <c r="C25" s="74" t="s">
        <v>3831</v>
      </c>
      <c r="D25" s="167">
        <v>0.3</v>
      </c>
      <c r="E25" s="167">
        <v>0.3</v>
      </c>
      <c r="F25" s="167">
        <v>0.19999999999999998</v>
      </c>
      <c r="G25" s="166"/>
      <c r="AB25" s="195" t="s">
        <v>4039</v>
      </c>
    </row>
    <row r="26" spans="1:28" ht="15" x14ac:dyDescent="0.2">
      <c r="A26" s="72" t="s">
        <v>536</v>
      </c>
      <c r="B26" s="72" t="s">
        <v>532</v>
      </c>
      <c r="C26" s="74" t="s">
        <v>3831</v>
      </c>
      <c r="D26" s="167">
        <v>0.3</v>
      </c>
      <c r="E26" s="167">
        <v>0.3</v>
      </c>
      <c r="F26" s="167">
        <v>0.19999999999999998</v>
      </c>
      <c r="G26" s="166"/>
      <c r="AB26" s="195" t="s">
        <v>4040</v>
      </c>
    </row>
    <row r="27" spans="1:28" ht="15" x14ac:dyDescent="0.2">
      <c r="A27" s="72" t="s">
        <v>536</v>
      </c>
      <c r="B27" s="72" t="s">
        <v>489</v>
      </c>
      <c r="C27" s="74" t="s">
        <v>3831</v>
      </c>
      <c r="D27" s="167">
        <v>0.19999999999999998</v>
      </c>
      <c r="E27" s="167">
        <v>0.19999999999999998</v>
      </c>
      <c r="F27" s="167">
        <v>9.9999999999999992E-2</v>
      </c>
      <c r="G27" s="166"/>
      <c r="AB27" s="195" t="s">
        <v>4041</v>
      </c>
    </row>
    <row r="28" spans="1:28" ht="15" x14ac:dyDescent="0.2">
      <c r="A28" s="72" t="s">
        <v>536</v>
      </c>
      <c r="B28" s="72" t="s">
        <v>533</v>
      </c>
      <c r="C28" s="74" t="s">
        <v>3832</v>
      </c>
      <c r="D28" s="167">
        <v>0.7</v>
      </c>
      <c r="E28" s="167">
        <v>0.7</v>
      </c>
      <c r="F28" s="167">
        <v>0.5</v>
      </c>
      <c r="G28" s="166"/>
      <c r="AB28" s="195" t="s">
        <v>4042</v>
      </c>
    </row>
    <row r="29" spans="1:28" ht="15" x14ac:dyDescent="0.2">
      <c r="A29" s="72" t="s">
        <v>536</v>
      </c>
      <c r="B29" s="72" t="s">
        <v>535</v>
      </c>
      <c r="C29" s="74" t="s">
        <v>3832</v>
      </c>
      <c r="D29" s="167">
        <v>1</v>
      </c>
      <c r="E29" s="167">
        <v>1</v>
      </c>
      <c r="F29" s="167">
        <v>0.7</v>
      </c>
      <c r="G29" s="166"/>
      <c r="AB29" s="195" t="s">
        <v>4043</v>
      </c>
    </row>
    <row r="30" spans="1:28" ht="64.150000000000006" customHeight="1" x14ac:dyDescent="0.2">
      <c r="A30" s="72" t="s">
        <v>537</v>
      </c>
      <c r="B30" s="108" t="s">
        <v>386</v>
      </c>
      <c r="C30" s="74" t="s">
        <v>3831</v>
      </c>
      <c r="D30" s="167">
        <v>1.7999999999999998</v>
      </c>
      <c r="E30" s="167">
        <v>1.7999999999999998</v>
      </c>
      <c r="F30" s="167">
        <v>1.5</v>
      </c>
      <c r="G30" s="166"/>
      <c r="AB30" s="196" t="s">
        <v>4044</v>
      </c>
    </row>
    <row r="31" spans="1:28" ht="15" x14ac:dyDescent="0.2">
      <c r="A31" s="72" t="s">
        <v>537</v>
      </c>
      <c r="B31" s="72" t="s">
        <v>530</v>
      </c>
      <c r="C31" s="74" t="s">
        <v>3831</v>
      </c>
      <c r="D31" s="167">
        <v>1.5</v>
      </c>
      <c r="E31" s="167">
        <v>1.5</v>
      </c>
      <c r="F31" s="167">
        <v>1.2</v>
      </c>
      <c r="G31" s="166"/>
      <c r="AB31" s="195" t="s">
        <v>4045</v>
      </c>
    </row>
    <row r="32" spans="1:28" ht="15" x14ac:dyDescent="0.2">
      <c r="A32" s="72" t="s">
        <v>537</v>
      </c>
      <c r="B32" s="72" t="s">
        <v>531</v>
      </c>
      <c r="C32" s="74" t="s">
        <v>3831</v>
      </c>
      <c r="D32" s="167">
        <v>1.5</v>
      </c>
      <c r="E32" s="167">
        <v>1.5</v>
      </c>
      <c r="F32" s="167">
        <v>1.2</v>
      </c>
      <c r="G32" s="166"/>
      <c r="AB32" s="195" t="s">
        <v>4046</v>
      </c>
    </row>
    <row r="33" spans="1:28" ht="15" x14ac:dyDescent="0.2">
      <c r="A33" s="72" t="s">
        <v>537</v>
      </c>
      <c r="B33" s="72" t="s">
        <v>522</v>
      </c>
      <c r="C33" s="74" t="s">
        <v>3831</v>
      </c>
      <c r="D33" s="167">
        <v>0.3</v>
      </c>
      <c r="E33" s="167">
        <v>0.3</v>
      </c>
      <c r="F33" s="167">
        <v>0.19999999999999998</v>
      </c>
      <c r="G33" s="166"/>
      <c r="AB33" s="195" t="s">
        <v>4047</v>
      </c>
    </row>
    <row r="34" spans="1:28" ht="30" x14ac:dyDescent="0.2">
      <c r="A34" s="72" t="s">
        <v>537</v>
      </c>
      <c r="B34" s="72" t="s">
        <v>532</v>
      </c>
      <c r="C34" s="74" t="s">
        <v>3831</v>
      </c>
      <c r="D34" s="167">
        <v>0.3</v>
      </c>
      <c r="E34" s="167">
        <v>0.3</v>
      </c>
      <c r="F34" s="167">
        <v>0.19999999999999998</v>
      </c>
      <c r="G34" s="166"/>
      <c r="AB34" s="196" t="s">
        <v>4048</v>
      </c>
    </row>
    <row r="35" spans="1:28" ht="33.6" customHeight="1" x14ac:dyDescent="0.2">
      <c r="A35" s="72" t="s">
        <v>537</v>
      </c>
      <c r="B35" s="72" t="s">
        <v>489</v>
      </c>
      <c r="C35" s="74" t="s">
        <v>3831</v>
      </c>
      <c r="D35" s="167">
        <v>0.19999999999999998</v>
      </c>
      <c r="E35" s="167">
        <v>0.19999999999999998</v>
      </c>
      <c r="F35" s="167">
        <v>9.9999999999999992E-2</v>
      </c>
      <c r="G35" s="166"/>
      <c r="AB35" s="198" t="s">
        <v>4049</v>
      </c>
    </row>
    <row r="36" spans="1:28" ht="15" x14ac:dyDescent="0.2">
      <c r="A36" s="72" t="s">
        <v>537</v>
      </c>
      <c r="B36" s="72" t="s">
        <v>533</v>
      </c>
      <c r="C36" s="74" t="s">
        <v>3832</v>
      </c>
      <c r="D36" s="167">
        <v>0.7</v>
      </c>
      <c r="E36" s="167">
        <v>0.7</v>
      </c>
      <c r="F36" s="167">
        <v>0.5</v>
      </c>
      <c r="G36" s="166"/>
      <c r="AB36" s="195" t="s">
        <v>4050</v>
      </c>
    </row>
    <row r="37" spans="1:28" x14ac:dyDescent="0.2">
      <c r="A37" s="72" t="s">
        <v>537</v>
      </c>
      <c r="B37" s="72" t="s">
        <v>535</v>
      </c>
      <c r="C37" s="74" t="s">
        <v>3832</v>
      </c>
      <c r="D37" s="167">
        <v>1</v>
      </c>
      <c r="E37" s="167">
        <v>1</v>
      </c>
      <c r="F37" s="167">
        <v>0.7</v>
      </c>
      <c r="G37" s="166"/>
    </row>
    <row r="38" spans="1:28" x14ac:dyDescent="0.2">
      <c r="A38" s="72" t="s">
        <v>538</v>
      </c>
      <c r="B38" s="72" t="s">
        <v>539</v>
      </c>
      <c r="C38" s="74" t="s">
        <v>3831</v>
      </c>
      <c r="D38" s="167">
        <v>1</v>
      </c>
      <c r="E38" s="167">
        <v>0.79999999999999993</v>
      </c>
      <c r="F38" s="167">
        <v>0.6</v>
      </c>
      <c r="G38" s="166"/>
    </row>
    <row r="39" spans="1:28" x14ac:dyDescent="0.2">
      <c r="A39" s="72" t="s">
        <v>538</v>
      </c>
      <c r="B39" s="72" t="s">
        <v>540</v>
      </c>
      <c r="C39" s="74" t="s">
        <v>3831</v>
      </c>
      <c r="D39" s="167">
        <v>0.7</v>
      </c>
      <c r="E39" s="167">
        <v>0.55999999999999994</v>
      </c>
      <c r="F39" s="167">
        <v>0.42</v>
      </c>
      <c r="G39" s="166"/>
    </row>
    <row r="40" spans="1:28" x14ac:dyDescent="0.2">
      <c r="A40" s="72" t="s">
        <v>538</v>
      </c>
      <c r="B40" s="72" t="s">
        <v>532</v>
      </c>
      <c r="C40" s="74" t="s">
        <v>3831</v>
      </c>
      <c r="D40" s="167">
        <v>0.3</v>
      </c>
      <c r="E40" s="167">
        <v>0.24</v>
      </c>
      <c r="F40" s="167">
        <v>0.18</v>
      </c>
      <c r="G40" s="166"/>
    </row>
    <row r="41" spans="1:28" x14ac:dyDescent="0.2">
      <c r="A41" s="72" t="s">
        <v>538</v>
      </c>
      <c r="B41" s="72" t="s">
        <v>489</v>
      </c>
      <c r="C41" s="74" t="s">
        <v>3831</v>
      </c>
      <c r="D41" s="167">
        <v>0.19999999999999998</v>
      </c>
      <c r="E41" s="167">
        <v>0.16</v>
      </c>
      <c r="F41" s="167">
        <v>0.12</v>
      </c>
      <c r="G41" s="16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DT_Tong">
    <tabColor rgb="FF00B0F0"/>
  </sheetPr>
  <dimension ref="A1:P23"/>
  <sheetViews>
    <sheetView topLeftCell="H1" zoomScale="70" zoomScaleNormal="70" workbookViewId="0">
      <selection activeCell="N18" sqref="N18:T18"/>
    </sheetView>
  </sheetViews>
  <sheetFormatPr defaultRowHeight="14.25" x14ac:dyDescent="0.2"/>
  <cols>
    <col min="1" max="1" width="15.625" bestFit="1" customWidth="1"/>
    <col min="2" max="2" width="18.375" bestFit="1" customWidth="1"/>
    <col min="3" max="3" width="20" bestFit="1" customWidth="1"/>
    <col min="4" max="4" width="16.5" bestFit="1" customWidth="1"/>
    <col min="5" max="5" width="14.75" bestFit="1" customWidth="1"/>
    <col min="6" max="6" width="16.875" bestFit="1" customWidth="1"/>
    <col min="7" max="7" width="28.125" bestFit="1" customWidth="1"/>
    <col min="8" max="8" width="20" bestFit="1" customWidth="1"/>
    <col min="9" max="9" width="16.375" bestFit="1" customWidth="1"/>
    <col min="10" max="10" width="10.875" bestFit="1" customWidth="1"/>
    <col min="11" max="13" width="10.875" customWidth="1"/>
    <col min="14" max="14" width="23.625" customWidth="1"/>
    <col min="15" max="15" width="9.375" bestFit="1" customWidth="1"/>
    <col min="16" max="16" width="10.875" customWidth="1"/>
    <col min="19" max="19" width="13" customWidth="1"/>
    <col min="20" max="20" width="13.25" customWidth="1"/>
  </cols>
  <sheetData>
    <row r="1" spans="1:15" x14ac:dyDescent="0.2">
      <c r="A1" s="16"/>
    </row>
    <row r="3" spans="1:15" ht="15" x14ac:dyDescent="0.25">
      <c r="A3" s="18" t="s">
        <v>374</v>
      </c>
    </row>
    <row r="5" spans="1:15" x14ac:dyDescent="0.2">
      <c r="A5" s="36" t="s">
        <v>291</v>
      </c>
      <c r="B5" s="16" t="s">
        <v>354</v>
      </c>
    </row>
    <row r="6" spans="1:15" x14ac:dyDescent="0.2">
      <c r="A6" s="37" t="s">
        <v>306</v>
      </c>
      <c r="B6" s="16"/>
    </row>
    <row r="7" spans="1:15" x14ac:dyDescent="0.2">
      <c r="A7" s="37" t="s">
        <v>3753</v>
      </c>
      <c r="B7" s="16">
        <v>8.19</v>
      </c>
    </row>
    <row r="8" spans="1:15" x14ac:dyDescent="0.2">
      <c r="A8" s="37" t="s">
        <v>3837</v>
      </c>
      <c r="B8" s="16">
        <v>5300000</v>
      </c>
    </row>
    <row r="9" spans="1:15" x14ac:dyDescent="0.2">
      <c r="A9" s="37" t="s">
        <v>292</v>
      </c>
      <c r="B9" s="16">
        <v>5300008.1900000004</v>
      </c>
    </row>
    <row r="14" spans="1:15" ht="15" x14ac:dyDescent="0.25">
      <c r="N14" s="18" t="s">
        <v>358</v>
      </c>
      <c r="O14" s="18"/>
    </row>
    <row r="16" spans="1:15" x14ac:dyDescent="0.2">
      <c r="A16" s="36" t="s">
        <v>354</v>
      </c>
      <c r="B16" s="36" t="s">
        <v>312</v>
      </c>
      <c r="C16" s="16"/>
      <c r="D16" s="16"/>
      <c r="E16" s="16"/>
      <c r="K16" s="16"/>
      <c r="L16" s="16"/>
      <c r="M16" s="16"/>
      <c r="N16" s="38" t="s">
        <v>357</v>
      </c>
      <c r="O16" s="38" t="s">
        <v>312</v>
      </c>
    </row>
    <row r="17" spans="1:16" x14ac:dyDescent="0.2">
      <c r="A17" s="36" t="s">
        <v>355</v>
      </c>
      <c r="B17" s="16" t="s">
        <v>306</v>
      </c>
      <c r="C17" s="16" t="s">
        <v>3753</v>
      </c>
      <c r="D17" s="16" t="s">
        <v>3837</v>
      </c>
      <c r="E17" s="16" t="s">
        <v>366</v>
      </c>
      <c r="K17" s="16"/>
      <c r="L17" s="16"/>
      <c r="M17" s="16"/>
      <c r="N17" s="38" t="s">
        <v>356</v>
      </c>
      <c r="O17" t="s">
        <v>306</v>
      </c>
      <c r="P17" t="s">
        <v>366</v>
      </c>
    </row>
    <row r="18" spans="1:16" x14ac:dyDescent="0.2">
      <c r="A18" s="40" t="s">
        <v>306</v>
      </c>
      <c r="B18" s="16"/>
      <c r="C18" s="16">
        <v>8.19</v>
      </c>
      <c r="D18" s="16">
        <v>5300000</v>
      </c>
      <c r="E18" s="16">
        <v>5300008.1900000004</v>
      </c>
      <c r="K18" s="16"/>
      <c r="L18" s="16"/>
      <c r="M18" s="16"/>
      <c r="N18" s="39" t="s">
        <v>306</v>
      </c>
      <c r="O18" s="14"/>
      <c r="P18" s="14"/>
    </row>
    <row r="19" spans="1:16" x14ac:dyDescent="0.2">
      <c r="A19" s="37" t="s">
        <v>366</v>
      </c>
      <c r="B19" s="16"/>
      <c r="C19" s="16">
        <v>8.19</v>
      </c>
      <c r="D19" s="16">
        <v>5300000</v>
      </c>
      <c r="E19" s="16">
        <v>5300008.1900000004</v>
      </c>
      <c r="K19" s="16"/>
      <c r="L19" s="16"/>
      <c r="M19" s="16"/>
      <c r="N19" s="39" t="s">
        <v>3753</v>
      </c>
      <c r="O19" s="14">
        <v>8.19</v>
      </c>
      <c r="P19" s="14">
        <v>8.19</v>
      </c>
    </row>
    <row r="20" spans="1:16" x14ac:dyDescent="0.2">
      <c r="K20" s="16"/>
      <c r="L20" s="16"/>
      <c r="M20" s="16"/>
      <c r="N20" s="39" t="s">
        <v>366</v>
      </c>
      <c r="O20" s="14">
        <v>8.19</v>
      </c>
      <c r="P20" s="14">
        <v>8.19</v>
      </c>
    </row>
    <row r="21" spans="1:16" x14ac:dyDescent="0.2">
      <c r="K21" s="16"/>
      <c r="L21" s="16"/>
      <c r="M21" s="16"/>
    </row>
    <row r="22" spans="1:16" x14ac:dyDescent="0.2">
      <c r="K22" s="16"/>
      <c r="L22" s="16"/>
      <c r="M22" s="16"/>
    </row>
    <row r="23" spans="1:16" x14ac:dyDescent="0.2">
      <c r="K23" s="16"/>
      <c r="L23" s="16"/>
      <c r="M23" s="1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DT_CLD">
    <tabColor rgb="FF00B0F0"/>
  </sheetPr>
  <dimension ref="A1:AW48"/>
  <sheetViews>
    <sheetView topLeftCell="C1" zoomScale="85" zoomScaleNormal="85" workbookViewId="0">
      <selection activeCell="E13" sqref="E13"/>
    </sheetView>
  </sheetViews>
  <sheetFormatPr defaultRowHeight="14.25" x14ac:dyDescent="0.2"/>
  <cols>
    <col min="1" max="1" width="30.625" customWidth="1"/>
    <col min="2" max="2" width="21" customWidth="1"/>
    <col min="3" max="3" width="17.375" customWidth="1"/>
    <col min="4" max="4" width="3.25" customWidth="1"/>
    <col min="5" max="5" width="24.375" customWidth="1"/>
    <col min="6" max="6" width="9.625" customWidth="1"/>
    <col min="7" max="7" width="9.375" bestFit="1" customWidth="1"/>
    <col min="8" max="8" width="10.875" customWidth="1"/>
    <col min="9" max="9" width="13.875" customWidth="1"/>
    <col min="11" max="11" width="9.375" bestFit="1" customWidth="1"/>
    <col min="12" max="12" width="12.375" customWidth="1"/>
    <col min="13" max="13" width="10.375" customWidth="1"/>
    <col min="15" max="15" width="9.375" customWidth="1"/>
    <col min="16" max="16" width="8.25" customWidth="1"/>
    <col min="17" max="17" width="6.625" customWidth="1"/>
    <col min="18" max="18" width="34.375" customWidth="1"/>
    <col min="19" max="19" width="13.375" customWidth="1"/>
    <col min="22" max="22" width="10.125" customWidth="1"/>
    <col min="26" max="26" width="11.125" customWidth="1"/>
    <col min="31" max="31" width="29.375" customWidth="1"/>
    <col min="36" max="36" width="10.375" customWidth="1"/>
    <col min="37" max="37" width="19.375" customWidth="1"/>
  </cols>
  <sheetData>
    <row r="1" spans="1:49" ht="15" x14ac:dyDescent="0.25">
      <c r="A1" s="18" t="s">
        <v>359</v>
      </c>
      <c r="B1" s="15"/>
      <c r="E1" s="18" t="s">
        <v>362</v>
      </c>
      <c r="F1" s="15"/>
      <c r="G1" s="15"/>
      <c r="H1" s="15"/>
      <c r="I1" s="15"/>
      <c r="J1" s="15"/>
      <c r="K1" s="15"/>
      <c r="R1" s="18" t="s">
        <v>367</v>
      </c>
      <c r="S1" s="15"/>
      <c r="T1" s="15"/>
      <c r="U1" s="15"/>
      <c r="V1" s="15"/>
      <c r="AE1" s="18" t="s">
        <v>384</v>
      </c>
      <c r="AF1" s="15"/>
      <c r="AK1" s="18" t="s">
        <v>385</v>
      </c>
      <c r="AL1" s="15"/>
      <c r="AM1" s="15"/>
      <c r="AN1" s="15"/>
      <c r="AO1" s="15"/>
    </row>
    <row r="3" spans="1:49" x14ac:dyDescent="0.2">
      <c r="A3" s="38" t="s">
        <v>341</v>
      </c>
      <c r="B3" t="s">
        <v>306</v>
      </c>
      <c r="E3" s="38" t="s">
        <v>341</v>
      </c>
      <c r="F3" t="s">
        <v>306</v>
      </c>
      <c r="R3" s="38" t="s">
        <v>341</v>
      </c>
      <c r="S3" t="s">
        <v>306</v>
      </c>
      <c r="AE3" s="38" t="s">
        <v>341</v>
      </c>
      <c r="AF3" t="s">
        <v>306</v>
      </c>
      <c r="AK3" s="38" t="s">
        <v>341</v>
      </c>
      <c r="AL3" t="s">
        <v>306</v>
      </c>
    </row>
    <row r="5" spans="1:49" x14ac:dyDescent="0.2">
      <c r="A5" s="38" t="s">
        <v>356</v>
      </c>
      <c r="B5" t="s">
        <v>360</v>
      </c>
      <c r="C5" t="s">
        <v>357</v>
      </c>
      <c r="F5" s="38" t="s">
        <v>312</v>
      </c>
      <c r="S5" s="38" t="s">
        <v>312</v>
      </c>
      <c r="AE5" s="38" t="s">
        <v>356</v>
      </c>
      <c r="AF5" t="s">
        <v>363</v>
      </c>
      <c r="AK5" s="38" t="s">
        <v>356</v>
      </c>
      <c r="AL5" t="s">
        <v>357</v>
      </c>
    </row>
    <row r="6" spans="1:49" x14ac:dyDescent="0.2">
      <c r="A6" s="39" t="s">
        <v>306</v>
      </c>
      <c r="B6" s="14"/>
      <c r="C6" s="14"/>
      <c r="F6" t="s">
        <v>364</v>
      </c>
      <c r="G6" t="s">
        <v>365</v>
      </c>
      <c r="S6" t="s">
        <v>364</v>
      </c>
      <c r="T6" t="s">
        <v>365</v>
      </c>
      <c r="AE6" s="39" t="s">
        <v>366</v>
      </c>
      <c r="AF6" s="14"/>
      <c r="AK6" s="39" t="s">
        <v>306</v>
      </c>
      <c r="AL6" s="14"/>
    </row>
    <row r="7" spans="1:49" x14ac:dyDescent="0.2">
      <c r="A7" s="39" t="s">
        <v>366</v>
      </c>
      <c r="B7" s="14"/>
      <c r="C7" s="14"/>
      <c r="E7" s="38" t="s">
        <v>356</v>
      </c>
      <c r="R7" s="38" t="s">
        <v>356</v>
      </c>
      <c r="AK7" s="41" t="s">
        <v>306</v>
      </c>
      <c r="AL7" s="14"/>
    </row>
    <row r="8" spans="1:49" x14ac:dyDescent="0.2">
      <c r="E8" s="39" t="s">
        <v>366</v>
      </c>
      <c r="F8" s="14"/>
      <c r="G8" s="14"/>
      <c r="N8" s="14"/>
      <c r="R8" s="39" t="s">
        <v>366</v>
      </c>
      <c r="S8" s="14"/>
      <c r="T8" s="14"/>
      <c r="AA8" s="48"/>
      <c r="AK8" s="45" t="s">
        <v>306</v>
      </c>
      <c r="AL8" s="14"/>
    </row>
    <row r="9" spans="1:49" s="17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 s="14"/>
      <c r="O9"/>
      <c r="P9"/>
      <c r="R9"/>
      <c r="S9"/>
      <c r="T9"/>
      <c r="U9"/>
      <c r="V9"/>
      <c r="W9"/>
      <c r="X9"/>
      <c r="Y9"/>
      <c r="Z9"/>
      <c r="AA9" s="48"/>
      <c r="AE9"/>
      <c r="AF9"/>
      <c r="AG9"/>
      <c r="AH9"/>
      <c r="AI9"/>
      <c r="AJ9"/>
      <c r="AK9" s="46" t="s">
        <v>306</v>
      </c>
      <c r="AL9" s="14"/>
      <c r="AM9"/>
      <c r="AN9"/>
      <c r="AO9"/>
      <c r="AP9"/>
      <c r="AQ9"/>
      <c r="AR9"/>
      <c r="AS9"/>
      <c r="AT9"/>
      <c r="AU9"/>
      <c r="AV9"/>
      <c r="AW9"/>
    </row>
    <row r="10" spans="1:49" x14ac:dyDescent="0.2">
      <c r="N10" s="14"/>
      <c r="AA10" s="14"/>
      <c r="AK10" s="39" t="s">
        <v>366</v>
      </c>
      <c r="AL10" s="14"/>
    </row>
    <row r="11" spans="1:49" s="17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 s="14"/>
      <c r="O11"/>
      <c r="P11"/>
      <c r="R11"/>
      <c r="S11"/>
      <c r="T11"/>
      <c r="U11"/>
      <c r="V11"/>
      <c r="W11"/>
      <c r="X11"/>
      <c r="Y11"/>
      <c r="Z11"/>
      <c r="AA11" s="14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</row>
    <row r="12" spans="1:49" x14ac:dyDescent="0.2">
      <c r="N12" s="14"/>
      <c r="AA12" s="14"/>
    </row>
    <row r="13" spans="1:49" x14ac:dyDescent="0.2">
      <c r="N13" s="14"/>
      <c r="AA13" s="14"/>
    </row>
    <row r="14" spans="1:49" x14ac:dyDescent="0.2">
      <c r="N14" s="14"/>
      <c r="AA14" s="48"/>
    </row>
    <row r="15" spans="1:49" x14ac:dyDescent="0.2">
      <c r="N15" s="14"/>
      <c r="AA15" s="48"/>
    </row>
    <row r="16" spans="1:49" x14ac:dyDescent="0.2">
      <c r="N16" s="14"/>
      <c r="AA16" s="48"/>
    </row>
    <row r="17" spans="1:48" x14ac:dyDescent="0.2">
      <c r="N17" s="14"/>
      <c r="AA17" s="14"/>
    </row>
    <row r="18" spans="1:48" s="17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 s="14"/>
      <c r="O18"/>
      <c r="P18"/>
      <c r="R18"/>
      <c r="S18"/>
      <c r="T18"/>
      <c r="U18"/>
      <c r="V18"/>
      <c r="W18"/>
      <c r="X18"/>
      <c r="Y18"/>
      <c r="Z18"/>
      <c r="AA18" s="14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x14ac:dyDescent="0.2">
      <c r="N19" s="14"/>
      <c r="AA19" s="48"/>
    </row>
    <row r="20" spans="1:48" x14ac:dyDescent="0.2">
      <c r="N20" s="14"/>
      <c r="AA20" s="14"/>
    </row>
    <row r="21" spans="1:48" x14ac:dyDescent="0.2">
      <c r="N21" s="14"/>
      <c r="AA21" s="48"/>
    </row>
    <row r="22" spans="1:48" x14ac:dyDescent="0.2">
      <c r="N22" s="14"/>
      <c r="AA22" s="48"/>
    </row>
    <row r="23" spans="1:48" s="17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U23"/>
      <c r="V23"/>
      <c r="W23"/>
      <c r="X23"/>
      <c r="Y23"/>
      <c r="Z23"/>
      <c r="AA23" s="48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 x14ac:dyDescent="0.2">
      <c r="AA24" s="48"/>
    </row>
    <row r="25" spans="1:48" x14ac:dyDescent="0.2">
      <c r="AA25" s="48"/>
    </row>
    <row r="26" spans="1:48" s="17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U26"/>
      <c r="V26"/>
      <c r="W26"/>
      <c r="X26"/>
      <c r="Y26"/>
      <c r="Z26"/>
      <c r="AA26" s="48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 x14ac:dyDescent="0.2">
      <c r="AA27" s="14"/>
    </row>
    <row r="28" spans="1:48" x14ac:dyDescent="0.2">
      <c r="AA28" s="14"/>
    </row>
    <row r="29" spans="1:48" x14ac:dyDescent="0.2">
      <c r="AA29" s="48"/>
    </row>
    <row r="30" spans="1:48" x14ac:dyDescent="0.2">
      <c r="AA30" s="14"/>
    </row>
    <row r="31" spans="1:48" x14ac:dyDescent="0.2">
      <c r="AA31" s="14"/>
    </row>
    <row r="32" spans="1:48" x14ac:dyDescent="0.2">
      <c r="AA32" s="48"/>
    </row>
    <row r="33" spans="27:27" x14ac:dyDescent="0.2">
      <c r="AA33" s="14"/>
    </row>
    <row r="34" spans="27:27" x14ac:dyDescent="0.2">
      <c r="AA34" s="14"/>
    </row>
    <row r="35" spans="27:27" x14ac:dyDescent="0.2">
      <c r="AA35" s="48"/>
    </row>
    <row r="36" spans="27:27" x14ac:dyDescent="0.2">
      <c r="AA36" s="14"/>
    </row>
    <row r="37" spans="27:27" x14ac:dyDescent="0.2">
      <c r="AA37" s="14"/>
    </row>
    <row r="38" spans="27:27" x14ac:dyDescent="0.2">
      <c r="AA38" s="14"/>
    </row>
    <row r="39" spans="27:27" x14ac:dyDescent="0.2">
      <c r="AA39" s="14"/>
    </row>
    <row r="40" spans="27:27" x14ac:dyDescent="0.2">
      <c r="AA40" s="14"/>
    </row>
    <row r="41" spans="27:27" x14ac:dyDescent="0.2">
      <c r="AA41" s="14"/>
    </row>
    <row r="42" spans="27:27" x14ac:dyDescent="0.2">
      <c r="AA42" s="14"/>
    </row>
    <row r="43" spans="27:27" x14ac:dyDescent="0.2">
      <c r="AA43" s="14"/>
    </row>
    <row r="44" spans="27:27" x14ac:dyDescent="0.2">
      <c r="AA44" s="14"/>
    </row>
    <row r="45" spans="27:27" x14ac:dyDescent="0.2">
      <c r="AA45" s="14"/>
    </row>
    <row r="46" spans="27:27" x14ac:dyDescent="0.2">
      <c r="AA46" s="48"/>
    </row>
    <row r="47" spans="27:27" x14ac:dyDescent="0.2">
      <c r="AA47" s="14"/>
    </row>
    <row r="48" spans="27:27" x14ac:dyDescent="0.2">
      <c r="AA48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DT_NVL">
    <tabColor rgb="FF00B0F0"/>
  </sheetPr>
  <dimension ref="A2:AU104"/>
  <sheetViews>
    <sheetView zoomScale="70" zoomScaleNormal="70" workbookViewId="0">
      <selection activeCell="H41" sqref="H41"/>
    </sheetView>
  </sheetViews>
  <sheetFormatPr defaultRowHeight="14.25" x14ac:dyDescent="0.2"/>
  <cols>
    <col min="1" max="1" width="30" customWidth="1"/>
    <col min="2" max="2" width="17.375" bestFit="1" customWidth="1"/>
    <col min="3" max="6" width="17.375" customWidth="1"/>
    <col min="7" max="7" width="11.375" customWidth="1"/>
    <col min="8" max="8" width="17.875" customWidth="1"/>
    <col min="9" max="9" width="11.375" customWidth="1"/>
    <col min="10" max="10" width="13.375" customWidth="1"/>
    <col min="11" max="11" width="13.875" customWidth="1"/>
    <col min="12" max="12" width="10.875" customWidth="1"/>
    <col min="13" max="14" width="10.375" bestFit="1" customWidth="1"/>
    <col min="15" max="15" width="12.375" customWidth="1"/>
    <col min="16" max="16" width="15.375" customWidth="1"/>
    <col min="21" max="21" width="25.625" customWidth="1"/>
    <col min="30" max="30" width="11" customWidth="1"/>
    <col min="31" max="31" width="12.125" customWidth="1"/>
    <col min="36" max="36" width="15.375" customWidth="1"/>
    <col min="46" max="46" width="14" customWidth="1"/>
    <col min="47" max="47" width="11.375" customWidth="1"/>
    <col min="48" max="48" width="11.625" customWidth="1"/>
    <col min="49" max="49" width="12" customWidth="1"/>
    <col min="50" max="50" width="13" customWidth="1"/>
  </cols>
  <sheetData>
    <row r="2" spans="1:47" x14ac:dyDescent="0.2">
      <c r="A2" s="38" t="s">
        <v>341</v>
      </c>
      <c r="B2" t="s">
        <v>306</v>
      </c>
      <c r="U2" s="38" t="s">
        <v>341</v>
      </c>
      <c r="V2" t="s">
        <v>306</v>
      </c>
      <c r="AO2" s="38" t="s">
        <v>341</v>
      </c>
      <c r="AP2" t="s">
        <v>306</v>
      </c>
    </row>
    <row r="4" spans="1:47" x14ac:dyDescent="0.2">
      <c r="B4" s="38" t="s">
        <v>312</v>
      </c>
      <c r="V4" s="38" t="s">
        <v>312</v>
      </c>
      <c r="AP4" s="38" t="s">
        <v>312</v>
      </c>
    </row>
    <row r="5" spans="1:47" x14ac:dyDescent="0.2">
      <c r="B5" t="s">
        <v>16</v>
      </c>
      <c r="C5" t="s">
        <v>543</v>
      </c>
      <c r="D5" t="s">
        <v>371</v>
      </c>
      <c r="E5" t="s">
        <v>368</v>
      </c>
      <c r="F5" t="s">
        <v>544</v>
      </c>
      <c r="G5" t="s">
        <v>372</v>
      </c>
      <c r="V5" t="s">
        <v>16</v>
      </c>
      <c r="W5" t="s">
        <v>369</v>
      </c>
      <c r="X5" t="s">
        <v>371</v>
      </c>
      <c r="Y5" t="s">
        <v>368</v>
      </c>
      <c r="Z5" t="s">
        <v>370</v>
      </c>
      <c r="AA5" t="s">
        <v>372</v>
      </c>
      <c r="AP5" t="s">
        <v>16</v>
      </c>
      <c r="AQ5" t="s">
        <v>369</v>
      </c>
      <c r="AR5" t="s">
        <v>371</v>
      </c>
      <c r="AS5" t="s">
        <v>368</v>
      </c>
      <c r="AT5" t="s">
        <v>370</v>
      </c>
      <c r="AU5" t="s">
        <v>372</v>
      </c>
    </row>
    <row r="6" spans="1:47" x14ac:dyDescent="0.2">
      <c r="A6" s="38" t="s">
        <v>291</v>
      </c>
      <c r="B6" t="s">
        <v>306</v>
      </c>
      <c r="C6" t="s">
        <v>306</v>
      </c>
      <c r="D6" t="s">
        <v>306</v>
      </c>
      <c r="U6" s="38" t="s">
        <v>291</v>
      </c>
      <c r="V6" t="s">
        <v>306</v>
      </c>
      <c r="W6" t="s">
        <v>306</v>
      </c>
      <c r="X6" t="s">
        <v>306</v>
      </c>
      <c r="AO6" s="38" t="s">
        <v>291</v>
      </c>
      <c r="AP6" t="s">
        <v>306</v>
      </c>
      <c r="AQ6" t="s">
        <v>306</v>
      </c>
      <c r="AR6" t="s">
        <v>306</v>
      </c>
    </row>
    <row r="7" spans="1:47" x14ac:dyDescent="0.2">
      <c r="A7" s="39" t="s">
        <v>306</v>
      </c>
      <c r="B7" s="14"/>
      <c r="C7" s="14"/>
      <c r="D7" s="14"/>
      <c r="E7" s="2"/>
      <c r="F7" s="14"/>
      <c r="G7" s="16"/>
      <c r="U7" s="39" t="s">
        <v>306</v>
      </c>
      <c r="V7" s="14"/>
      <c r="W7" s="14"/>
      <c r="X7" s="14"/>
      <c r="Y7" s="2"/>
      <c r="Z7" s="14"/>
      <c r="AA7" s="16"/>
      <c r="AO7" s="39" t="s">
        <v>306</v>
      </c>
      <c r="AP7" s="14"/>
      <c r="AQ7" s="14"/>
      <c r="AR7" s="14"/>
      <c r="AS7" s="2"/>
      <c r="AT7" s="14"/>
      <c r="AU7" s="16"/>
    </row>
    <row r="8" spans="1:47" x14ac:dyDescent="0.2">
      <c r="A8" s="39" t="s">
        <v>366</v>
      </c>
      <c r="B8" s="14"/>
      <c r="C8" s="14"/>
      <c r="D8" s="14"/>
      <c r="E8" s="2"/>
      <c r="F8" s="14"/>
      <c r="G8" s="16"/>
      <c r="U8" s="41" t="s">
        <v>306</v>
      </c>
      <c r="V8" s="14"/>
      <c r="W8" s="14"/>
      <c r="X8" s="14"/>
      <c r="Y8" s="2"/>
      <c r="Z8" s="14"/>
      <c r="AA8" s="16"/>
      <c r="AO8" s="41" t="s">
        <v>306</v>
      </c>
      <c r="AP8" s="14"/>
      <c r="AQ8" s="14"/>
      <c r="AR8" s="14"/>
      <c r="AS8" s="2"/>
      <c r="AT8" s="14"/>
      <c r="AU8" s="16"/>
    </row>
    <row r="9" spans="1:47" x14ac:dyDescent="0.2">
      <c r="U9" s="45" t="s">
        <v>306</v>
      </c>
      <c r="V9" s="14"/>
      <c r="W9" s="14"/>
      <c r="X9" s="14"/>
      <c r="Y9" s="2"/>
      <c r="Z9" s="14"/>
      <c r="AA9" s="16"/>
      <c r="AO9" s="45" t="s">
        <v>306</v>
      </c>
      <c r="AP9" s="14"/>
      <c r="AQ9" s="14"/>
      <c r="AR9" s="14"/>
      <c r="AS9" s="2"/>
      <c r="AT9" s="14"/>
      <c r="AU9" s="16"/>
    </row>
    <row r="10" spans="1:47" x14ac:dyDescent="0.2">
      <c r="U10" s="46" t="s">
        <v>306</v>
      </c>
      <c r="V10" s="14"/>
      <c r="W10" s="14"/>
      <c r="X10" s="14"/>
      <c r="Y10" s="2"/>
      <c r="Z10" s="14"/>
      <c r="AA10" s="16"/>
      <c r="AO10" s="46" t="s">
        <v>306</v>
      </c>
      <c r="AP10" s="14"/>
      <c r="AQ10" s="14"/>
      <c r="AR10" s="14"/>
      <c r="AS10" s="2"/>
      <c r="AT10" s="14"/>
      <c r="AU10" s="16"/>
    </row>
    <row r="11" spans="1:47" x14ac:dyDescent="0.2">
      <c r="U11" s="47" t="s">
        <v>306</v>
      </c>
      <c r="V11" s="14"/>
      <c r="W11" s="14"/>
      <c r="X11" s="14"/>
      <c r="Y11" s="2"/>
      <c r="Z11" s="14"/>
      <c r="AA11" s="16"/>
      <c r="AO11" s="47" t="s">
        <v>306</v>
      </c>
      <c r="AP11" s="14"/>
      <c r="AQ11" s="14"/>
      <c r="AR11" s="14"/>
      <c r="AS11" s="2"/>
      <c r="AT11" s="14"/>
      <c r="AU11" s="16"/>
    </row>
    <row r="12" spans="1:47" x14ac:dyDescent="0.2">
      <c r="U12" s="39" t="s">
        <v>366</v>
      </c>
      <c r="V12" s="14"/>
      <c r="W12" s="14"/>
      <c r="X12" s="14"/>
      <c r="Y12" s="2"/>
      <c r="Z12" s="14"/>
      <c r="AA12" s="16"/>
      <c r="AO12" s="39" t="s">
        <v>366</v>
      </c>
      <c r="AP12" s="14"/>
      <c r="AQ12" s="14"/>
      <c r="AR12" s="14"/>
      <c r="AS12" s="2"/>
      <c r="AT12" s="14"/>
      <c r="AU12" s="16"/>
    </row>
    <row r="86" spans="1:6" x14ac:dyDescent="0.2">
      <c r="A86" t="s">
        <v>289</v>
      </c>
      <c r="B86" s="14">
        <v>249.59999999999997</v>
      </c>
      <c r="C86" s="14"/>
      <c r="D86" s="14"/>
      <c r="E86" s="14"/>
      <c r="F86" s="14"/>
    </row>
    <row r="87" spans="1:6" x14ac:dyDescent="0.2">
      <c r="A87" t="s">
        <v>293</v>
      </c>
      <c r="B87" s="14">
        <v>34.036363636363632</v>
      </c>
      <c r="C87" s="14"/>
      <c r="D87" s="14"/>
      <c r="E87" s="14"/>
      <c r="F87" s="14"/>
    </row>
    <row r="88" spans="1:6" x14ac:dyDescent="0.2">
      <c r="A88" t="s">
        <v>294</v>
      </c>
      <c r="B88" s="14">
        <v>198.1090909090909</v>
      </c>
      <c r="C88" s="14"/>
      <c r="D88" s="14"/>
      <c r="E88" s="14"/>
      <c r="F88" s="14"/>
    </row>
    <row r="89" spans="1:6" x14ac:dyDescent="0.2">
      <c r="A89" t="s">
        <v>295</v>
      </c>
      <c r="B89" s="14">
        <v>54.98181818181817</v>
      </c>
      <c r="C89" s="14"/>
      <c r="D89" s="14"/>
      <c r="E89" s="14"/>
      <c r="F89" s="14"/>
    </row>
    <row r="90" spans="1:6" x14ac:dyDescent="0.2">
      <c r="A90" t="s">
        <v>307</v>
      </c>
      <c r="B90" s="14">
        <v>24.436363636363637</v>
      </c>
      <c r="C90" s="14"/>
      <c r="D90" s="14"/>
      <c r="E90" s="14"/>
      <c r="F90" s="14"/>
    </row>
    <row r="91" spans="1:6" x14ac:dyDescent="0.2">
      <c r="A91" t="s">
        <v>308</v>
      </c>
      <c r="B91" s="14">
        <v>30.545454545454543</v>
      </c>
      <c r="C91" s="14"/>
      <c r="D91" s="14"/>
      <c r="E91" s="14"/>
      <c r="F91" s="14"/>
    </row>
    <row r="92" spans="1:6" x14ac:dyDescent="0.2">
      <c r="A92" t="s">
        <v>309</v>
      </c>
      <c r="B92" s="14">
        <v>31.418181818181822</v>
      </c>
      <c r="C92" s="14"/>
      <c r="D92" s="14"/>
      <c r="E92" s="14"/>
      <c r="F92" s="14"/>
    </row>
    <row r="93" spans="1:6" x14ac:dyDescent="0.2">
      <c r="A93" t="s">
        <v>310</v>
      </c>
      <c r="B93" s="14">
        <v>32.290909090909089</v>
      </c>
      <c r="C93" s="14"/>
      <c r="D93" s="14"/>
      <c r="E93" s="14"/>
      <c r="F93" s="14"/>
    </row>
    <row r="94" spans="1:6" x14ac:dyDescent="0.2">
      <c r="A94" t="s">
        <v>311</v>
      </c>
      <c r="B94" s="14">
        <v>24.436363636363637</v>
      </c>
      <c r="C94" s="14"/>
      <c r="D94" s="14"/>
      <c r="E94" s="14"/>
      <c r="F94" s="14"/>
    </row>
    <row r="95" spans="1:6" x14ac:dyDescent="0.2">
      <c r="A95" t="s">
        <v>296</v>
      </c>
      <c r="B95" s="14">
        <v>17.454545454545453</v>
      </c>
      <c r="C95" s="14"/>
      <c r="D95" s="14"/>
      <c r="E95" s="14"/>
      <c r="F95" s="14"/>
    </row>
    <row r="96" spans="1:6" x14ac:dyDescent="0.2">
      <c r="A96" t="s">
        <v>297</v>
      </c>
      <c r="B96" s="14">
        <v>124.36363636363636</v>
      </c>
      <c r="C96" s="14"/>
      <c r="D96" s="14"/>
      <c r="E96" s="14"/>
      <c r="F96" s="14"/>
    </row>
    <row r="97" spans="1:6" x14ac:dyDescent="0.2">
      <c r="A97" t="s">
        <v>298</v>
      </c>
      <c r="B97" s="14">
        <v>82.472727272727269</v>
      </c>
      <c r="C97" s="14"/>
      <c r="D97" s="14"/>
      <c r="E97" s="14"/>
      <c r="F97" s="14"/>
    </row>
    <row r="98" spans="1:6" x14ac:dyDescent="0.2">
      <c r="A98" t="s">
        <v>299</v>
      </c>
      <c r="B98" s="14">
        <v>17.454545454545453</v>
      </c>
      <c r="C98" s="14"/>
      <c r="D98" s="14"/>
      <c r="E98" s="14"/>
      <c r="F98" s="14"/>
    </row>
    <row r="99" spans="1:6" x14ac:dyDescent="0.2">
      <c r="A99" t="s">
        <v>300</v>
      </c>
      <c r="B99" s="14">
        <v>24.436363636363634</v>
      </c>
      <c r="C99" s="14"/>
      <c r="D99" s="14"/>
      <c r="E99" s="14"/>
      <c r="F99" s="14"/>
    </row>
    <row r="100" spans="1:6" x14ac:dyDescent="0.2">
      <c r="A100" t="s">
        <v>301</v>
      </c>
      <c r="B100" s="14">
        <v>62.836363636363629</v>
      </c>
      <c r="C100" s="14"/>
      <c r="D100" s="14"/>
      <c r="E100" s="14"/>
      <c r="F100" s="14"/>
    </row>
    <row r="101" spans="1:6" x14ac:dyDescent="0.2">
      <c r="A101" t="s">
        <v>303</v>
      </c>
      <c r="B101" s="14">
        <v>27.927272727272726</v>
      </c>
      <c r="C101" s="14"/>
      <c r="D101" s="14"/>
      <c r="E101" s="14"/>
      <c r="F101" s="14"/>
    </row>
    <row r="102" spans="1:6" x14ac:dyDescent="0.2">
      <c r="A102" t="s">
        <v>304</v>
      </c>
      <c r="B102" s="14">
        <v>21.818181818181817</v>
      </c>
      <c r="C102" s="14"/>
      <c r="D102" s="14"/>
      <c r="E102" s="14"/>
      <c r="F102" s="14"/>
    </row>
    <row r="103" spans="1:6" x14ac:dyDescent="0.2">
      <c r="A103" t="s">
        <v>305</v>
      </c>
      <c r="B103" s="14">
        <v>13.09090909090909</v>
      </c>
      <c r="C103" s="14"/>
      <c r="D103" s="14"/>
      <c r="E103" s="14"/>
      <c r="F103" s="14"/>
    </row>
    <row r="104" spans="1:6" x14ac:dyDescent="0.2">
      <c r="A104" t="s">
        <v>302</v>
      </c>
      <c r="B104" s="14">
        <v>47.999999999999993</v>
      </c>
      <c r="C104" s="14"/>
      <c r="D104" s="14"/>
      <c r="E104" s="14"/>
      <c r="F104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DT_TTB">
    <tabColor rgb="FF00B0F0"/>
  </sheetPr>
  <dimension ref="A1:G11"/>
  <sheetViews>
    <sheetView workbookViewId="0">
      <selection activeCell="F64" sqref="F64"/>
    </sheetView>
  </sheetViews>
  <sheetFormatPr defaultRowHeight="14.25" x14ac:dyDescent="0.2"/>
  <cols>
    <col min="6" max="6" width="14" customWidth="1"/>
    <col min="7" max="7" width="11.375" customWidth="1"/>
    <col min="8" max="8" width="11.625" customWidth="1"/>
    <col min="9" max="9" width="12" customWidth="1"/>
    <col min="10" max="10" width="13" customWidth="1"/>
  </cols>
  <sheetData>
    <row r="1" spans="1:7" x14ac:dyDescent="0.2">
      <c r="A1" s="38" t="s">
        <v>341</v>
      </c>
      <c r="B1" t="s">
        <v>306</v>
      </c>
    </row>
    <row r="3" spans="1:7" x14ac:dyDescent="0.2">
      <c r="B3" s="38" t="s">
        <v>312</v>
      </c>
    </row>
    <row r="4" spans="1:7" x14ac:dyDescent="0.2">
      <c r="B4" t="s">
        <v>16</v>
      </c>
      <c r="C4" t="s">
        <v>369</v>
      </c>
      <c r="D4" t="s">
        <v>371</v>
      </c>
      <c r="E4" t="s">
        <v>368</v>
      </c>
      <c r="F4" t="s">
        <v>370</v>
      </c>
      <c r="G4" t="s">
        <v>372</v>
      </c>
    </row>
    <row r="5" spans="1:7" x14ac:dyDescent="0.2">
      <c r="A5" s="38" t="s">
        <v>291</v>
      </c>
      <c r="B5" t="s">
        <v>306</v>
      </c>
      <c r="C5" t="s">
        <v>306</v>
      </c>
      <c r="D5" t="s">
        <v>306</v>
      </c>
    </row>
    <row r="6" spans="1:7" x14ac:dyDescent="0.2">
      <c r="A6" s="39" t="s">
        <v>306</v>
      </c>
      <c r="B6" s="14"/>
      <c r="C6" s="14"/>
      <c r="D6" s="14"/>
      <c r="E6" s="2"/>
      <c r="F6" s="14"/>
      <c r="G6" s="16"/>
    </row>
    <row r="7" spans="1:7" x14ac:dyDescent="0.2">
      <c r="A7" s="41" t="s">
        <v>306</v>
      </c>
      <c r="B7" s="14"/>
      <c r="C7" s="14"/>
      <c r="D7" s="14"/>
      <c r="E7" s="2"/>
      <c r="F7" s="14"/>
      <c r="G7" s="16"/>
    </row>
    <row r="8" spans="1:7" x14ac:dyDescent="0.2">
      <c r="A8" s="45" t="s">
        <v>306</v>
      </c>
      <c r="B8" s="14"/>
      <c r="C8" s="14"/>
      <c r="D8" s="14"/>
      <c r="E8" s="2"/>
      <c r="F8" s="14"/>
      <c r="G8" s="16"/>
    </row>
    <row r="9" spans="1:7" x14ac:dyDescent="0.2">
      <c r="A9" s="46" t="s">
        <v>306</v>
      </c>
      <c r="B9" s="14"/>
      <c r="C9" s="14"/>
      <c r="D9" s="14"/>
      <c r="E9" s="2"/>
      <c r="F9" s="14"/>
      <c r="G9" s="16"/>
    </row>
    <row r="10" spans="1:7" x14ac:dyDescent="0.2">
      <c r="A10" s="47" t="s">
        <v>306</v>
      </c>
      <c r="B10" s="14"/>
      <c r="C10" s="14"/>
      <c r="D10" s="14"/>
      <c r="E10" s="2"/>
      <c r="F10" s="14"/>
      <c r="G10" s="16"/>
    </row>
    <row r="11" spans="1:7" x14ac:dyDescent="0.2">
      <c r="A11" s="39" t="s">
        <v>366</v>
      </c>
      <c r="B11" s="14"/>
      <c r="C11" s="14"/>
      <c r="D11" s="14"/>
      <c r="E11" s="2"/>
      <c r="F11" s="14"/>
      <c r="G11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DT_CK">
    <tabColor rgb="FF00B0F0"/>
  </sheetPr>
  <dimension ref="A1:AZ26"/>
  <sheetViews>
    <sheetView zoomScale="85" zoomScaleNormal="85" workbookViewId="0">
      <selection activeCell="O14" sqref="O14"/>
    </sheetView>
  </sheetViews>
  <sheetFormatPr defaultRowHeight="14.25" x14ac:dyDescent="0.2"/>
  <cols>
    <col min="1" max="1" width="30.625" customWidth="1"/>
    <col min="2" max="2" width="21" customWidth="1"/>
    <col min="3" max="3" width="17.375" customWidth="1"/>
    <col min="4" max="4" width="11.25" customWidth="1"/>
    <col min="5" max="5" width="14.625" customWidth="1"/>
    <col min="6" max="6" width="9.625" customWidth="1"/>
    <col min="7" max="7" width="9.375" bestFit="1" customWidth="1"/>
    <col min="8" max="8" width="10.875" customWidth="1"/>
    <col min="9" max="9" width="13.875" customWidth="1"/>
    <col min="11" max="11" width="9.375" bestFit="1" customWidth="1"/>
    <col min="12" max="12" width="12.375" customWidth="1"/>
    <col min="14" max="14" width="9.375" customWidth="1"/>
    <col min="15" max="15" width="8.25" customWidth="1"/>
    <col min="16" max="16" width="6.625" customWidth="1"/>
    <col min="17" max="17" width="34.375" customWidth="1"/>
    <col min="18" max="18" width="13.375" customWidth="1"/>
  </cols>
  <sheetData>
    <row r="1" spans="1:52" ht="15" x14ac:dyDescent="0.25">
      <c r="A1" s="18" t="s">
        <v>373</v>
      </c>
      <c r="B1" s="15"/>
    </row>
    <row r="3" spans="1:52" x14ac:dyDescent="0.2">
      <c r="A3" s="38" t="s">
        <v>341</v>
      </c>
      <c r="B3" t="s">
        <v>306</v>
      </c>
    </row>
    <row r="5" spans="1:52" x14ac:dyDescent="0.2">
      <c r="B5" s="38" t="s">
        <v>312</v>
      </c>
    </row>
    <row r="6" spans="1:52" x14ac:dyDescent="0.2">
      <c r="B6" t="s">
        <v>16</v>
      </c>
      <c r="C6" t="s">
        <v>17</v>
      </c>
      <c r="D6" t="s">
        <v>354</v>
      </c>
      <c r="E6" t="s">
        <v>368</v>
      </c>
      <c r="F6" t="s">
        <v>542</v>
      </c>
      <c r="G6" t="s">
        <v>545</v>
      </c>
    </row>
    <row r="7" spans="1:52" x14ac:dyDescent="0.2">
      <c r="A7" s="38" t="s">
        <v>356</v>
      </c>
      <c r="B7" t="s">
        <v>306</v>
      </c>
      <c r="C7" t="s">
        <v>306</v>
      </c>
      <c r="D7" t="s">
        <v>306</v>
      </c>
    </row>
    <row r="8" spans="1:52" x14ac:dyDescent="0.2">
      <c r="A8" s="39" t="s">
        <v>306</v>
      </c>
      <c r="B8" s="49"/>
      <c r="C8" s="14"/>
      <c r="D8" s="14"/>
      <c r="E8" s="2"/>
      <c r="F8" s="14"/>
      <c r="G8" s="14"/>
    </row>
    <row r="9" spans="1:52" s="17" customFormat="1" x14ac:dyDescent="0.2">
      <c r="A9" s="41" t="s">
        <v>306</v>
      </c>
      <c r="B9" s="49"/>
      <c r="C9" s="14"/>
      <c r="D9" s="14"/>
      <c r="E9" s="2"/>
      <c r="F9" s="14"/>
      <c r="G9" s="14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">
      <c r="A10" s="45" t="s">
        <v>306</v>
      </c>
      <c r="B10" s="49"/>
      <c r="C10" s="14"/>
      <c r="D10" s="14"/>
      <c r="E10" s="2"/>
      <c r="F10" s="14"/>
      <c r="G10" s="14"/>
    </row>
    <row r="11" spans="1:52" s="17" customFormat="1" x14ac:dyDescent="0.2">
      <c r="A11" s="46" t="s">
        <v>306</v>
      </c>
      <c r="B11" s="49"/>
      <c r="C11" s="14"/>
      <c r="D11" s="14"/>
      <c r="E11" s="2"/>
      <c r="F11" s="14"/>
      <c r="G11" s="14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">
      <c r="A12" s="47" t="s">
        <v>306</v>
      </c>
      <c r="B12" s="49"/>
      <c r="C12" s="14"/>
      <c r="D12" s="14"/>
      <c r="E12" s="2"/>
      <c r="F12" s="14"/>
      <c r="G12" s="14"/>
    </row>
    <row r="13" spans="1:52" x14ac:dyDescent="0.2">
      <c r="A13" s="39" t="s">
        <v>366</v>
      </c>
      <c r="B13" s="49"/>
      <c r="C13" s="14"/>
      <c r="D13" s="14"/>
      <c r="E13" s="2"/>
      <c r="F13" s="14"/>
      <c r="G13" s="14"/>
    </row>
    <row r="18" spans="1:52" s="17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23" spans="1:52" s="17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6" spans="1:52" s="17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DLG_HH">
    <tabColor theme="9" tint="0.39997558519241921"/>
  </sheetPr>
  <dimension ref="A1:AA521"/>
  <sheetViews>
    <sheetView zoomScale="70" zoomScaleNormal="70" workbookViewId="0">
      <selection activeCell="C4" sqref="C4"/>
    </sheetView>
  </sheetViews>
  <sheetFormatPr defaultRowHeight="14.25" x14ac:dyDescent="0.2"/>
  <cols>
    <col min="1" max="1" width="6.625" customWidth="1"/>
    <col min="2" max="2" width="10.625" customWidth="1"/>
    <col min="3" max="3" width="28.75" customWidth="1"/>
    <col min="4" max="4" width="12.375" customWidth="1"/>
    <col min="5" max="5" width="18.5" customWidth="1"/>
    <col min="6" max="6" width="14.125" customWidth="1"/>
    <col min="7" max="7" width="32.125" customWidth="1"/>
    <col min="9" max="9" width="11.125" bestFit="1" customWidth="1"/>
    <col min="10" max="10" width="11.125" customWidth="1"/>
    <col min="11" max="11" width="24.75" customWidth="1"/>
    <col min="22" max="22" width="11" customWidth="1"/>
    <col min="23" max="23" width="17.875" bestFit="1" customWidth="1"/>
    <col min="24" max="24" width="18.375" bestFit="1" customWidth="1"/>
    <col min="25" max="25" width="12.625" style="3" bestFit="1" customWidth="1"/>
    <col min="26" max="26" width="24.375" bestFit="1" customWidth="1"/>
    <col min="27" max="27" width="14.625" bestFit="1" customWidth="1"/>
    <col min="28" max="28" width="12.625" bestFit="1" customWidth="1"/>
  </cols>
  <sheetData>
    <row r="1" spans="1:27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3" spans="1:27" ht="23.25" customHeight="1" x14ac:dyDescent="0.2">
      <c r="A3" s="8" t="s">
        <v>7</v>
      </c>
      <c r="B3" s="8" t="s">
        <v>317</v>
      </c>
      <c r="C3" s="8" t="s">
        <v>9</v>
      </c>
      <c r="D3" s="8" t="s">
        <v>0</v>
      </c>
      <c r="E3" s="8" t="s">
        <v>3902</v>
      </c>
      <c r="F3" s="8" t="s">
        <v>44</v>
      </c>
      <c r="G3" s="35" t="s">
        <v>47</v>
      </c>
      <c r="H3" s="8" t="s">
        <v>1</v>
      </c>
      <c r="I3" s="8" t="s">
        <v>17</v>
      </c>
      <c r="J3" s="8" t="s">
        <v>48</v>
      </c>
      <c r="K3" s="8" t="s">
        <v>290</v>
      </c>
      <c r="L3" s="172" t="s">
        <v>3838</v>
      </c>
      <c r="Y3"/>
    </row>
    <row r="4" spans="1:27" ht="94.5" x14ac:dyDescent="0.2">
      <c r="A4">
        <v>1</v>
      </c>
      <c r="B4" s="136" t="s">
        <v>3232</v>
      </c>
      <c r="C4" s="126" t="s">
        <v>1627</v>
      </c>
      <c r="D4" s="126" t="s">
        <v>2117</v>
      </c>
      <c r="F4" s="126" t="s">
        <v>3877</v>
      </c>
      <c r="G4" s="129" t="s">
        <v>3840</v>
      </c>
      <c r="H4" s="126" t="s">
        <v>2987</v>
      </c>
      <c r="I4" s="132" t="s">
        <v>3068</v>
      </c>
      <c r="J4" s="135" t="s">
        <v>3230</v>
      </c>
      <c r="AA4" s="1"/>
    </row>
    <row r="5" spans="1:27" ht="47.25" x14ac:dyDescent="0.2">
      <c r="A5">
        <v>2</v>
      </c>
      <c r="B5" s="136" t="s">
        <v>3233</v>
      </c>
      <c r="C5" s="126" t="s">
        <v>1628</v>
      </c>
      <c r="D5" s="126" t="s">
        <v>2118</v>
      </c>
      <c r="F5" s="126" t="s">
        <v>2471</v>
      </c>
      <c r="G5" s="129" t="s">
        <v>2507</v>
      </c>
      <c r="H5" s="126" t="s">
        <v>2988</v>
      </c>
      <c r="I5" s="132" t="s">
        <v>3069</v>
      </c>
      <c r="J5" s="135" t="s">
        <v>3228</v>
      </c>
      <c r="AA5" s="1"/>
    </row>
    <row r="6" spans="1:27" ht="31.5" x14ac:dyDescent="0.2">
      <c r="A6">
        <v>3</v>
      </c>
      <c r="B6" s="136" t="s">
        <v>3234</v>
      </c>
      <c r="C6" s="126" t="s">
        <v>1629</v>
      </c>
      <c r="D6" s="126" t="s">
        <v>2119</v>
      </c>
      <c r="F6" s="126" t="s">
        <v>2476</v>
      </c>
      <c r="G6" s="129" t="s">
        <v>3841</v>
      </c>
      <c r="H6" s="126" t="s">
        <v>2989</v>
      </c>
      <c r="I6" s="133">
        <v>6000000</v>
      </c>
      <c r="J6" s="135" t="s">
        <v>3228</v>
      </c>
      <c r="K6" s="4"/>
    </row>
    <row r="7" spans="1:27" ht="157.5" x14ac:dyDescent="0.2">
      <c r="A7">
        <v>4</v>
      </c>
      <c r="B7" s="136" t="s">
        <v>3235</v>
      </c>
      <c r="C7" s="126" t="s">
        <v>1630</v>
      </c>
      <c r="D7" s="126" t="s">
        <v>2120</v>
      </c>
      <c r="F7" s="126" t="s">
        <v>3847</v>
      </c>
      <c r="G7" s="129" t="s">
        <v>3842</v>
      </c>
      <c r="H7" s="126" t="s">
        <v>2990</v>
      </c>
      <c r="I7" s="133">
        <v>850000</v>
      </c>
      <c r="J7" s="135" t="s">
        <v>3228</v>
      </c>
      <c r="K7" t="s">
        <v>449</v>
      </c>
    </row>
    <row r="8" spans="1:27" ht="47.25" x14ac:dyDescent="0.2">
      <c r="A8">
        <v>5</v>
      </c>
      <c r="B8" s="136" t="s">
        <v>3236</v>
      </c>
      <c r="C8" s="126" t="s">
        <v>1631</v>
      </c>
      <c r="D8" s="126" t="s">
        <v>2121</v>
      </c>
      <c r="F8" s="126" t="s">
        <v>3872</v>
      </c>
      <c r="G8" s="129" t="s">
        <v>3839</v>
      </c>
      <c r="H8" s="126" t="s">
        <v>2990</v>
      </c>
      <c r="I8" s="133">
        <v>1309000</v>
      </c>
      <c r="J8" s="135" t="s">
        <v>3228</v>
      </c>
      <c r="K8" t="s">
        <v>448</v>
      </c>
    </row>
    <row r="9" spans="1:27" ht="252" x14ac:dyDescent="0.2">
      <c r="A9">
        <v>6</v>
      </c>
      <c r="B9" s="136" t="s">
        <v>3237</v>
      </c>
      <c r="C9" s="126" t="s">
        <v>1632</v>
      </c>
      <c r="D9" s="126" t="s">
        <v>2122</v>
      </c>
      <c r="F9" s="126" t="s">
        <v>3855</v>
      </c>
      <c r="G9" s="129" t="s">
        <v>2508</v>
      </c>
      <c r="H9" s="126" t="s">
        <v>447</v>
      </c>
      <c r="I9" s="133">
        <v>2500000</v>
      </c>
      <c r="J9" s="135" t="s">
        <v>3228</v>
      </c>
      <c r="K9" t="s">
        <v>452</v>
      </c>
    </row>
    <row r="10" spans="1:27" ht="126" x14ac:dyDescent="0.2">
      <c r="A10">
        <v>7</v>
      </c>
      <c r="B10" s="136" t="s">
        <v>3238</v>
      </c>
      <c r="C10" s="126" t="s">
        <v>1633</v>
      </c>
      <c r="D10" s="126">
        <v>398383</v>
      </c>
      <c r="F10" s="126" t="s">
        <v>3750</v>
      </c>
      <c r="G10" s="129" t="s">
        <v>2509</v>
      </c>
      <c r="H10" s="126" t="s">
        <v>447</v>
      </c>
      <c r="I10" s="132" t="s">
        <v>3070</v>
      </c>
      <c r="J10" s="135" t="s">
        <v>3228</v>
      </c>
      <c r="K10" t="s">
        <v>451</v>
      </c>
    </row>
    <row r="11" spans="1:27" ht="78.75" x14ac:dyDescent="0.2">
      <c r="A11">
        <v>8</v>
      </c>
      <c r="B11" s="136" t="s">
        <v>3239</v>
      </c>
      <c r="C11" s="126" t="s">
        <v>1634</v>
      </c>
      <c r="D11" s="126" t="s">
        <v>2123</v>
      </c>
      <c r="F11" s="126" t="s">
        <v>2491</v>
      </c>
      <c r="G11" s="129" t="s">
        <v>2510</v>
      </c>
      <c r="H11" s="126" t="s">
        <v>447</v>
      </c>
      <c r="I11" s="132">
        <v>850</v>
      </c>
      <c r="J11" s="135" t="s">
        <v>3228</v>
      </c>
      <c r="K11" t="s">
        <v>453</v>
      </c>
    </row>
    <row r="12" spans="1:27" ht="78.75" x14ac:dyDescent="0.2">
      <c r="A12">
        <v>9</v>
      </c>
      <c r="B12" s="136" t="s">
        <v>3240</v>
      </c>
      <c r="C12" s="126" t="s">
        <v>1635</v>
      </c>
      <c r="D12" s="126">
        <v>2608595073</v>
      </c>
      <c r="E12" s="126"/>
      <c r="F12" s="126" t="s">
        <v>3751</v>
      </c>
      <c r="G12" s="129" t="s">
        <v>3752</v>
      </c>
      <c r="H12" s="126" t="s">
        <v>2990</v>
      </c>
      <c r="I12" s="133">
        <v>990000</v>
      </c>
      <c r="J12" s="135" t="s">
        <v>3228</v>
      </c>
      <c r="K12" t="s">
        <v>448</v>
      </c>
    </row>
    <row r="13" spans="1:27" ht="47.25" x14ac:dyDescent="0.2">
      <c r="A13">
        <v>10</v>
      </c>
      <c r="B13" s="136" t="s">
        <v>3241</v>
      </c>
      <c r="C13" s="126" t="s">
        <v>1636</v>
      </c>
      <c r="D13" s="126" t="s">
        <v>2124</v>
      </c>
      <c r="F13" s="126" t="s">
        <v>3848</v>
      </c>
      <c r="G13" s="130" t="s">
        <v>2511</v>
      </c>
      <c r="H13" s="126" t="s">
        <v>447</v>
      </c>
      <c r="I13" s="132" t="s">
        <v>3072</v>
      </c>
      <c r="J13" s="135" t="s">
        <v>3228</v>
      </c>
      <c r="K13" t="s">
        <v>448</v>
      </c>
    </row>
    <row r="14" spans="1:27" ht="63" x14ac:dyDescent="0.2">
      <c r="A14">
        <v>11</v>
      </c>
      <c r="B14" s="136" t="s">
        <v>3242</v>
      </c>
      <c r="C14" s="126" t="s">
        <v>1637</v>
      </c>
      <c r="D14" s="126" t="s">
        <v>518</v>
      </c>
      <c r="F14" s="126" t="s">
        <v>3864</v>
      </c>
      <c r="G14" s="129" t="s">
        <v>2512</v>
      </c>
      <c r="H14" s="126" t="s">
        <v>2990</v>
      </c>
      <c r="I14" s="132" t="s">
        <v>3073</v>
      </c>
      <c r="J14" s="135" t="s">
        <v>3228</v>
      </c>
      <c r="K14" t="s">
        <v>448</v>
      </c>
    </row>
    <row r="15" spans="1:27" ht="189" x14ac:dyDescent="0.2">
      <c r="A15">
        <v>12</v>
      </c>
      <c r="B15" s="136" t="s">
        <v>3243</v>
      </c>
      <c r="C15" s="126" t="s">
        <v>1638</v>
      </c>
      <c r="D15" s="126" t="s">
        <v>2125</v>
      </c>
      <c r="F15" s="126" t="s">
        <v>2469</v>
      </c>
      <c r="G15" s="129" t="s">
        <v>2513</v>
      </c>
      <c r="H15" s="126" t="s">
        <v>2991</v>
      </c>
      <c r="I15" s="132" t="s">
        <v>3074</v>
      </c>
      <c r="J15" s="135" t="s">
        <v>3228</v>
      </c>
      <c r="K15" t="s">
        <v>448</v>
      </c>
    </row>
    <row r="16" spans="1:27" ht="63" x14ac:dyDescent="0.2">
      <c r="A16">
        <v>13</v>
      </c>
      <c r="B16" s="136" t="s">
        <v>3244</v>
      </c>
      <c r="C16" s="126" t="s">
        <v>1639</v>
      </c>
      <c r="D16" s="126" t="s">
        <v>2126</v>
      </c>
      <c r="F16" s="126" t="s">
        <v>2470</v>
      </c>
      <c r="G16" s="129" t="s">
        <v>2514</v>
      </c>
      <c r="H16" s="126" t="s">
        <v>2990</v>
      </c>
      <c r="I16" s="132" t="s">
        <v>3075</v>
      </c>
      <c r="J16" s="135" t="s">
        <v>3228</v>
      </c>
      <c r="K16" t="s">
        <v>448</v>
      </c>
    </row>
    <row r="17" spans="1:11" ht="110.25" x14ac:dyDescent="0.2">
      <c r="A17">
        <v>14</v>
      </c>
      <c r="B17" s="136" t="s">
        <v>3245</v>
      </c>
      <c r="C17" s="126" t="s">
        <v>1640</v>
      </c>
      <c r="D17" s="126" t="s">
        <v>2127</v>
      </c>
      <c r="F17" s="126" t="s">
        <v>2470</v>
      </c>
      <c r="G17" s="129" t="s">
        <v>2515</v>
      </c>
      <c r="H17" s="126" t="s">
        <v>2991</v>
      </c>
      <c r="I17" s="132" t="s">
        <v>3076</v>
      </c>
      <c r="J17" s="135" t="s">
        <v>3228</v>
      </c>
      <c r="K17" t="s">
        <v>448</v>
      </c>
    </row>
    <row r="18" spans="1:11" ht="63" x14ac:dyDescent="0.2">
      <c r="A18">
        <v>15</v>
      </c>
      <c r="B18" s="136" t="s">
        <v>3246</v>
      </c>
      <c r="C18" s="126" t="s">
        <v>1641</v>
      </c>
      <c r="D18" s="126" t="s">
        <v>2128</v>
      </c>
      <c r="F18" s="126" t="s">
        <v>2471</v>
      </c>
      <c r="G18" s="129" t="s">
        <v>2516</v>
      </c>
      <c r="H18" s="126" t="s">
        <v>2991</v>
      </c>
      <c r="I18" s="132" t="s">
        <v>3077</v>
      </c>
      <c r="J18" s="135" t="s">
        <v>3228</v>
      </c>
      <c r="K18" t="s">
        <v>448</v>
      </c>
    </row>
    <row r="19" spans="1:11" ht="47.25" x14ac:dyDescent="0.2">
      <c r="A19">
        <v>16</v>
      </c>
      <c r="B19" s="136" t="s">
        <v>3247</v>
      </c>
      <c r="C19" s="126" t="s">
        <v>1642</v>
      </c>
      <c r="D19" s="126" t="s">
        <v>518</v>
      </c>
      <c r="F19" s="126" t="s">
        <v>2491</v>
      </c>
      <c r="G19" s="129" t="s">
        <v>2517</v>
      </c>
      <c r="H19" s="126" t="s">
        <v>2987</v>
      </c>
      <c r="I19" s="132" t="s">
        <v>3078</v>
      </c>
      <c r="J19" s="135" t="s">
        <v>3228</v>
      </c>
      <c r="K19" t="s">
        <v>448</v>
      </c>
    </row>
    <row r="20" spans="1:11" ht="47.25" x14ac:dyDescent="0.2">
      <c r="A20">
        <v>17</v>
      </c>
      <c r="B20" s="136" t="s">
        <v>3248</v>
      </c>
      <c r="C20" s="126" t="s">
        <v>1643</v>
      </c>
      <c r="D20" s="126" t="s">
        <v>2129</v>
      </c>
      <c r="F20" s="126" t="s">
        <v>2491</v>
      </c>
      <c r="G20" s="130" t="s">
        <v>2518</v>
      </c>
      <c r="H20" s="126" t="s">
        <v>2987</v>
      </c>
      <c r="I20" s="132" t="s">
        <v>3079</v>
      </c>
      <c r="J20" s="135" t="s">
        <v>3228</v>
      </c>
      <c r="K20" t="s">
        <v>448</v>
      </c>
    </row>
    <row r="21" spans="1:11" ht="47.25" x14ac:dyDescent="0.2">
      <c r="A21">
        <v>18</v>
      </c>
      <c r="B21" s="136" t="s">
        <v>3249</v>
      </c>
      <c r="C21" s="126" t="s">
        <v>1644</v>
      </c>
      <c r="D21" s="126" t="s">
        <v>2130</v>
      </c>
      <c r="F21" s="126" t="s">
        <v>2491</v>
      </c>
      <c r="G21" s="129" t="s">
        <v>2519</v>
      </c>
      <c r="H21" s="126" t="s">
        <v>2987</v>
      </c>
      <c r="I21" s="132" t="s">
        <v>3080</v>
      </c>
      <c r="J21" s="135" t="s">
        <v>3228</v>
      </c>
    </row>
    <row r="22" spans="1:11" ht="15.75" x14ac:dyDescent="0.2">
      <c r="A22">
        <v>19</v>
      </c>
      <c r="B22" s="136" t="s">
        <v>3250</v>
      </c>
      <c r="C22" s="126" t="s">
        <v>1645</v>
      </c>
      <c r="D22" s="126" t="s">
        <v>2129</v>
      </c>
      <c r="F22" s="126" t="s">
        <v>2491</v>
      </c>
      <c r="G22" s="129" t="s">
        <v>2520</v>
      </c>
      <c r="H22" s="126" t="s">
        <v>2987</v>
      </c>
      <c r="I22" s="133">
        <v>1200000</v>
      </c>
      <c r="J22" s="135" t="s">
        <v>3228</v>
      </c>
    </row>
    <row r="23" spans="1:11" ht="63" x14ac:dyDescent="0.2">
      <c r="A23">
        <v>20</v>
      </c>
      <c r="B23" s="136" t="s">
        <v>3251</v>
      </c>
      <c r="C23" s="126" t="s">
        <v>1646</v>
      </c>
      <c r="D23" s="126" t="s">
        <v>2131</v>
      </c>
      <c r="F23" s="126" t="s">
        <v>3878</v>
      </c>
      <c r="G23" s="129" t="s">
        <v>2521</v>
      </c>
      <c r="H23" s="126" t="s">
        <v>2992</v>
      </c>
      <c r="I23" s="132" t="s">
        <v>3081</v>
      </c>
      <c r="J23" s="135" t="s">
        <v>3228</v>
      </c>
    </row>
    <row r="24" spans="1:11" ht="47.25" x14ac:dyDescent="0.2">
      <c r="A24">
        <v>21</v>
      </c>
      <c r="B24" s="136" t="s">
        <v>3252</v>
      </c>
      <c r="C24" s="126" t="s">
        <v>1647</v>
      </c>
      <c r="D24" s="126" t="s">
        <v>2132</v>
      </c>
      <c r="F24" s="126" t="s">
        <v>3878</v>
      </c>
      <c r="G24" s="129" t="s">
        <v>2522</v>
      </c>
      <c r="H24" s="126" t="s">
        <v>2987</v>
      </c>
      <c r="I24" s="132" t="s">
        <v>3082</v>
      </c>
      <c r="J24" s="135" t="s">
        <v>3228</v>
      </c>
    </row>
    <row r="25" spans="1:11" ht="47.25" x14ac:dyDescent="0.2">
      <c r="A25">
        <v>22</v>
      </c>
      <c r="B25" s="136" t="s">
        <v>3253</v>
      </c>
      <c r="C25" s="126" t="s">
        <v>1648</v>
      </c>
      <c r="D25" s="126" t="s">
        <v>2133</v>
      </c>
      <c r="F25" s="126" t="s">
        <v>3878</v>
      </c>
      <c r="G25" s="129" t="s">
        <v>2523</v>
      </c>
      <c r="H25" s="126" t="s">
        <v>2987</v>
      </c>
      <c r="I25" s="132" t="s">
        <v>3083</v>
      </c>
      <c r="J25" s="135" t="s">
        <v>3228</v>
      </c>
    </row>
    <row r="26" spans="1:11" ht="31.5" x14ac:dyDescent="0.2">
      <c r="A26">
        <v>23</v>
      </c>
      <c r="B26" s="136" t="s">
        <v>3254</v>
      </c>
      <c r="C26" s="126" t="s">
        <v>1649</v>
      </c>
      <c r="D26" s="126" t="s">
        <v>2134</v>
      </c>
      <c r="F26" s="126" t="s">
        <v>3856</v>
      </c>
      <c r="G26" s="129" t="s">
        <v>2524</v>
      </c>
      <c r="H26" s="126" t="s">
        <v>2987</v>
      </c>
      <c r="I26" s="133">
        <v>120000</v>
      </c>
      <c r="J26" s="135" t="s">
        <v>3228</v>
      </c>
    </row>
    <row r="27" spans="1:11" ht="110.25" x14ac:dyDescent="0.2">
      <c r="A27">
        <v>24</v>
      </c>
      <c r="B27" s="136" t="s">
        <v>3255</v>
      </c>
      <c r="C27" s="126" t="s">
        <v>1650</v>
      </c>
      <c r="D27" s="126" t="s">
        <v>2135</v>
      </c>
      <c r="F27" s="126" t="s">
        <v>2472</v>
      </c>
      <c r="G27" s="129" t="s">
        <v>2525</v>
      </c>
      <c r="H27" s="126" t="s">
        <v>2991</v>
      </c>
      <c r="I27" s="132" t="s">
        <v>3084</v>
      </c>
      <c r="J27" s="135" t="s">
        <v>3228</v>
      </c>
    </row>
    <row r="28" spans="1:11" ht="31.5" x14ac:dyDescent="0.2">
      <c r="A28">
        <v>25</v>
      </c>
      <c r="B28" s="136" t="s">
        <v>3256</v>
      </c>
      <c r="C28" s="126" t="s">
        <v>1651</v>
      </c>
      <c r="D28" s="126" t="s">
        <v>2136</v>
      </c>
      <c r="F28" s="126" t="s">
        <v>2491</v>
      </c>
      <c r="G28" s="129" t="s">
        <v>2526</v>
      </c>
      <c r="H28" s="126" t="s">
        <v>2989</v>
      </c>
      <c r="I28" s="132" t="s">
        <v>3085</v>
      </c>
      <c r="J28" s="135" t="s">
        <v>3228</v>
      </c>
    </row>
    <row r="29" spans="1:11" ht="31.5" x14ac:dyDescent="0.2">
      <c r="A29">
        <v>26</v>
      </c>
      <c r="B29" s="136" t="s">
        <v>3257</v>
      </c>
      <c r="C29" s="126" t="s">
        <v>1652</v>
      </c>
      <c r="D29" s="126" t="s">
        <v>518</v>
      </c>
      <c r="F29" s="126" t="s">
        <v>2471</v>
      </c>
      <c r="G29" s="129" t="s">
        <v>2527</v>
      </c>
      <c r="H29" s="126" t="s">
        <v>447</v>
      </c>
      <c r="I29" s="133">
        <v>11000</v>
      </c>
      <c r="J29" s="135" t="s">
        <v>3228</v>
      </c>
    </row>
    <row r="30" spans="1:11" ht="31.5" x14ac:dyDescent="0.2">
      <c r="A30">
        <v>27</v>
      </c>
      <c r="B30" s="136" t="s">
        <v>3258</v>
      </c>
      <c r="C30" s="126" t="s">
        <v>1653</v>
      </c>
      <c r="D30" s="126" t="s">
        <v>518</v>
      </c>
      <c r="F30" s="126" t="s">
        <v>2471</v>
      </c>
      <c r="G30" s="129" t="s">
        <v>2528</v>
      </c>
      <c r="H30" s="126" t="s">
        <v>447</v>
      </c>
      <c r="I30" s="133">
        <v>16000</v>
      </c>
      <c r="J30" s="135" t="s">
        <v>3228</v>
      </c>
    </row>
    <row r="31" spans="1:11" ht="31.5" x14ac:dyDescent="0.2">
      <c r="A31">
        <v>28</v>
      </c>
      <c r="B31" s="136" t="s">
        <v>3259</v>
      </c>
      <c r="C31" s="126" t="s">
        <v>1654</v>
      </c>
      <c r="D31" s="126" t="s">
        <v>518</v>
      </c>
      <c r="F31" s="126" t="s">
        <v>2471</v>
      </c>
      <c r="G31" s="129" t="s">
        <v>2529</v>
      </c>
      <c r="H31" s="126" t="s">
        <v>2990</v>
      </c>
      <c r="I31" s="133">
        <v>500000</v>
      </c>
      <c r="J31" s="135" t="s">
        <v>3228</v>
      </c>
    </row>
    <row r="32" spans="1:11" ht="47.25" x14ac:dyDescent="0.2">
      <c r="A32">
        <v>29</v>
      </c>
      <c r="B32" s="136" t="s">
        <v>3260</v>
      </c>
      <c r="C32" s="126" t="s">
        <v>1655</v>
      </c>
      <c r="D32" s="126" t="s">
        <v>518</v>
      </c>
      <c r="F32" s="126" t="s">
        <v>2471</v>
      </c>
      <c r="G32" s="129" t="s">
        <v>2530</v>
      </c>
      <c r="H32" s="126" t="s">
        <v>2993</v>
      </c>
      <c r="I32" s="133">
        <v>500000</v>
      </c>
      <c r="J32" s="135" t="s">
        <v>3228</v>
      </c>
    </row>
    <row r="33" spans="1:10" ht="47.25" x14ac:dyDescent="0.2">
      <c r="A33">
        <v>30</v>
      </c>
      <c r="B33" s="136" t="s">
        <v>3261</v>
      </c>
      <c r="C33" s="126" t="s">
        <v>1656</v>
      </c>
      <c r="D33" s="126" t="s">
        <v>518</v>
      </c>
      <c r="F33" s="126" t="s">
        <v>2476</v>
      </c>
      <c r="G33" s="129" t="s">
        <v>2531</v>
      </c>
      <c r="H33" s="126" t="s">
        <v>2994</v>
      </c>
      <c r="I33" s="132" t="s">
        <v>3086</v>
      </c>
      <c r="J33" s="135" t="s">
        <v>3228</v>
      </c>
    </row>
    <row r="34" spans="1:10" ht="78.75" x14ac:dyDescent="0.2">
      <c r="A34">
        <v>31</v>
      </c>
      <c r="B34" s="136" t="s">
        <v>3262</v>
      </c>
      <c r="C34" s="126" t="s">
        <v>1657</v>
      </c>
      <c r="D34" s="126" t="s">
        <v>518</v>
      </c>
      <c r="F34" s="126" t="s">
        <v>2471</v>
      </c>
      <c r="G34" s="129" t="s">
        <v>2532</v>
      </c>
      <c r="H34" s="126" t="s">
        <v>2995</v>
      </c>
      <c r="I34" s="133">
        <v>245000</v>
      </c>
      <c r="J34" s="135" t="s">
        <v>3228</v>
      </c>
    </row>
    <row r="35" spans="1:10" ht="94.5" x14ac:dyDescent="0.2">
      <c r="A35">
        <v>32</v>
      </c>
      <c r="B35" s="136" t="s">
        <v>3263</v>
      </c>
      <c r="C35" s="126" t="s">
        <v>1658</v>
      </c>
      <c r="D35" s="126" t="s">
        <v>518</v>
      </c>
      <c r="F35" s="126" t="s">
        <v>2471</v>
      </c>
      <c r="G35" s="129" t="s">
        <v>2533</v>
      </c>
      <c r="H35" s="126" t="s">
        <v>2996</v>
      </c>
      <c r="I35" s="132" t="s">
        <v>3086</v>
      </c>
      <c r="J35" s="135" t="s">
        <v>3228</v>
      </c>
    </row>
    <row r="36" spans="1:10" ht="47.25" x14ac:dyDescent="0.2">
      <c r="A36">
        <v>33</v>
      </c>
      <c r="B36" s="136" t="s">
        <v>3264</v>
      </c>
      <c r="C36" s="126" t="s">
        <v>1659</v>
      </c>
      <c r="D36" s="126" t="s">
        <v>2137</v>
      </c>
      <c r="F36" s="126" t="s">
        <v>3879</v>
      </c>
      <c r="G36" s="129" t="s">
        <v>2534</v>
      </c>
      <c r="H36" s="126" t="s">
        <v>2995</v>
      </c>
      <c r="I36" s="132" t="s">
        <v>3087</v>
      </c>
      <c r="J36" s="135" t="s">
        <v>3228</v>
      </c>
    </row>
    <row r="37" spans="1:10" ht="63" x14ac:dyDescent="0.2">
      <c r="A37">
        <v>34</v>
      </c>
      <c r="B37" s="136" t="s">
        <v>3265</v>
      </c>
      <c r="C37" s="126" t="s">
        <v>1660</v>
      </c>
      <c r="D37" s="126" t="s">
        <v>2138</v>
      </c>
      <c r="F37" s="126" t="s">
        <v>3878</v>
      </c>
      <c r="G37" s="129" t="s">
        <v>2535</v>
      </c>
      <c r="H37" s="126" t="s">
        <v>2992</v>
      </c>
      <c r="I37" s="132" t="s">
        <v>3088</v>
      </c>
      <c r="J37" s="135" t="s">
        <v>3228</v>
      </c>
    </row>
    <row r="38" spans="1:10" ht="63" x14ac:dyDescent="0.2">
      <c r="A38">
        <v>35</v>
      </c>
      <c r="B38" s="136" t="s">
        <v>3266</v>
      </c>
      <c r="C38" s="126" t="s">
        <v>1661</v>
      </c>
      <c r="D38" s="126" t="s">
        <v>2139</v>
      </c>
      <c r="F38" s="126" t="s">
        <v>3878</v>
      </c>
      <c r="G38" s="129" t="s">
        <v>2536</v>
      </c>
      <c r="H38" s="126" t="s">
        <v>2992</v>
      </c>
      <c r="I38" s="132" t="s">
        <v>3089</v>
      </c>
      <c r="J38" s="135" t="s">
        <v>3228</v>
      </c>
    </row>
    <row r="39" spans="1:10" ht="110.25" x14ac:dyDescent="0.2">
      <c r="A39">
        <v>36</v>
      </c>
      <c r="B39" s="136" t="s">
        <v>3267</v>
      </c>
      <c r="C39" s="126" t="s">
        <v>1662</v>
      </c>
      <c r="D39" s="126" t="s">
        <v>518</v>
      </c>
      <c r="F39" s="126" t="s">
        <v>2471</v>
      </c>
      <c r="G39" s="129" t="s">
        <v>2537</v>
      </c>
      <c r="H39" s="126" t="s">
        <v>2997</v>
      </c>
      <c r="I39" s="133">
        <v>500000</v>
      </c>
      <c r="J39" s="135" t="s">
        <v>3228</v>
      </c>
    </row>
    <row r="40" spans="1:10" ht="47.25" x14ac:dyDescent="0.2">
      <c r="A40">
        <v>37</v>
      </c>
      <c r="B40" s="136" t="s">
        <v>3268</v>
      </c>
      <c r="C40" s="126" t="s">
        <v>1663</v>
      </c>
      <c r="D40" s="126" t="s">
        <v>518</v>
      </c>
      <c r="F40" s="126" t="s">
        <v>2491</v>
      </c>
      <c r="G40" s="129" t="s">
        <v>2538</v>
      </c>
      <c r="H40" s="126" t="s">
        <v>2989</v>
      </c>
      <c r="I40" s="133">
        <v>67000</v>
      </c>
      <c r="J40" s="135" t="s">
        <v>3228</v>
      </c>
    </row>
    <row r="41" spans="1:10" ht="47.25" x14ac:dyDescent="0.2">
      <c r="A41">
        <v>38</v>
      </c>
      <c r="B41" s="136" t="s">
        <v>3269</v>
      </c>
      <c r="C41" s="126" t="s">
        <v>1664</v>
      </c>
      <c r="D41" s="126" t="s">
        <v>518</v>
      </c>
      <c r="F41" s="126" t="s">
        <v>2491</v>
      </c>
      <c r="G41" s="129" t="s">
        <v>2539</v>
      </c>
      <c r="H41" s="126" t="s">
        <v>2989</v>
      </c>
      <c r="I41" s="133">
        <v>67000</v>
      </c>
      <c r="J41" s="135" t="s">
        <v>3228</v>
      </c>
    </row>
    <row r="42" spans="1:10" ht="47.25" x14ac:dyDescent="0.2">
      <c r="A42">
        <v>39</v>
      </c>
      <c r="B42" s="136" t="s">
        <v>3270</v>
      </c>
      <c r="C42" s="126" t="s">
        <v>1665</v>
      </c>
      <c r="D42" s="126" t="s">
        <v>518</v>
      </c>
      <c r="F42" s="126" t="s">
        <v>2491</v>
      </c>
      <c r="G42" s="129" t="s">
        <v>2540</v>
      </c>
      <c r="H42" s="126" t="s">
        <v>2989</v>
      </c>
      <c r="I42" s="133">
        <v>67000</v>
      </c>
      <c r="J42" s="135" t="s">
        <v>3228</v>
      </c>
    </row>
    <row r="43" spans="1:10" ht="47.25" x14ac:dyDescent="0.2">
      <c r="A43">
        <v>40</v>
      </c>
      <c r="B43" s="136" t="s">
        <v>3271</v>
      </c>
      <c r="C43" s="126" t="s">
        <v>1666</v>
      </c>
      <c r="D43" s="126" t="s">
        <v>518</v>
      </c>
      <c r="F43" s="126" t="s">
        <v>2491</v>
      </c>
      <c r="G43" s="129" t="s">
        <v>2541</v>
      </c>
      <c r="H43" s="126" t="s">
        <v>2989</v>
      </c>
      <c r="I43" s="133">
        <v>67000</v>
      </c>
      <c r="J43" s="135" t="s">
        <v>3228</v>
      </c>
    </row>
    <row r="44" spans="1:10" ht="47.25" x14ac:dyDescent="0.2">
      <c r="A44">
        <v>41</v>
      </c>
      <c r="B44" s="136" t="s">
        <v>3272</v>
      </c>
      <c r="C44" s="126" t="s">
        <v>1667</v>
      </c>
      <c r="D44" s="126" t="s">
        <v>518</v>
      </c>
      <c r="F44" s="126" t="s">
        <v>2491</v>
      </c>
      <c r="G44" s="129" t="s">
        <v>2542</v>
      </c>
      <c r="H44" s="126" t="s">
        <v>2989</v>
      </c>
      <c r="I44" s="133">
        <v>66000</v>
      </c>
      <c r="J44" s="135" t="s">
        <v>3228</v>
      </c>
    </row>
    <row r="45" spans="1:10" ht="47.25" x14ac:dyDescent="0.2">
      <c r="A45">
        <v>42</v>
      </c>
      <c r="B45" s="136" t="s">
        <v>3273</v>
      </c>
      <c r="C45" s="126" t="s">
        <v>1668</v>
      </c>
      <c r="D45" s="126" t="s">
        <v>2140</v>
      </c>
      <c r="F45" s="126" t="s">
        <v>3873</v>
      </c>
      <c r="G45" s="129" t="s">
        <v>2543</v>
      </c>
      <c r="H45" s="126" t="s">
        <v>2998</v>
      </c>
      <c r="I45" s="133">
        <v>45000</v>
      </c>
      <c r="J45" s="135" t="s">
        <v>3228</v>
      </c>
    </row>
    <row r="46" spans="1:10" ht="47.25" x14ac:dyDescent="0.2">
      <c r="A46">
        <v>43</v>
      </c>
      <c r="B46" s="136" t="s">
        <v>3274</v>
      </c>
      <c r="C46" s="126" t="s">
        <v>1669</v>
      </c>
      <c r="D46" s="126" t="s">
        <v>2141</v>
      </c>
      <c r="F46" s="126" t="s">
        <v>3873</v>
      </c>
      <c r="G46" s="129" t="s">
        <v>2544</v>
      </c>
      <c r="H46" s="126" t="s">
        <v>2998</v>
      </c>
      <c r="I46" s="133">
        <v>50000</v>
      </c>
      <c r="J46" s="135" t="s">
        <v>3228</v>
      </c>
    </row>
    <row r="47" spans="1:10" ht="47.25" x14ac:dyDescent="0.2">
      <c r="A47">
        <v>44</v>
      </c>
      <c r="B47" s="136" t="s">
        <v>3275</v>
      </c>
      <c r="C47" s="126" t="s">
        <v>1670</v>
      </c>
      <c r="D47" s="126" t="s">
        <v>2142</v>
      </c>
      <c r="F47" s="126" t="s">
        <v>3873</v>
      </c>
      <c r="G47" s="129" t="s">
        <v>2545</v>
      </c>
      <c r="H47" s="126" t="s">
        <v>2998</v>
      </c>
      <c r="I47" s="133">
        <v>60000</v>
      </c>
      <c r="J47" s="135" t="s">
        <v>3228</v>
      </c>
    </row>
    <row r="48" spans="1:10" ht="47.25" x14ac:dyDescent="0.2">
      <c r="A48">
        <v>45</v>
      </c>
      <c r="B48" s="136" t="s">
        <v>3276</v>
      </c>
      <c r="C48" s="126" t="s">
        <v>1671</v>
      </c>
      <c r="D48" s="126" t="s">
        <v>2143</v>
      </c>
      <c r="F48" s="126" t="s">
        <v>3873</v>
      </c>
      <c r="G48" s="129" t="s">
        <v>2546</v>
      </c>
      <c r="H48" s="126" t="s">
        <v>2998</v>
      </c>
      <c r="I48" s="133">
        <v>100000</v>
      </c>
      <c r="J48" s="135" t="s">
        <v>3228</v>
      </c>
    </row>
    <row r="49" spans="1:10" ht="47.25" x14ac:dyDescent="0.2">
      <c r="A49">
        <v>46</v>
      </c>
      <c r="B49" s="136" t="s">
        <v>3277</v>
      </c>
      <c r="C49" s="126" t="s">
        <v>1672</v>
      </c>
      <c r="D49" s="126" t="s">
        <v>2144</v>
      </c>
      <c r="F49" s="126" t="s">
        <v>3873</v>
      </c>
      <c r="G49" s="129" t="s">
        <v>2547</v>
      </c>
      <c r="H49" s="126" t="s">
        <v>2998</v>
      </c>
      <c r="I49" s="133">
        <v>120000</v>
      </c>
      <c r="J49" s="135" t="s">
        <v>3228</v>
      </c>
    </row>
    <row r="50" spans="1:10" ht="47.25" x14ac:dyDescent="0.2">
      <c r="A50">
        <v>47</v>
      </c>
      <c r="B50" s="136" t="s">
        <v>3278</v>
      </c>
      <c r="C50" s="126" t="s">
        <v>1673</v>
      </c>
      <c r="D50" s="126" t="s">
        <v>2145</v>
      </c>
      <c r="F50" s="126" t="s">
        <v>2491</v>
      </c>
      <c r="G50" s="129" t="s">
        <v>2548</v>
      </c>
      <c r="H50" s="126" t="s">
        <v>2991</v>
      </c>
      <c r="I50" s="133">
        <v>50000</v>
      </c>
      <c r="J50" s="135" t="s">
        <v>3228</v>
      </c>
    </row>
    <row r="51" spans="1:10" ht="78.75" x14ac:dyDescent="0.2">
      <c r="A51">
        <v>48</v>
      </c>
      <c r="B51" s="136" t="s">
        <v>3279</v>
      </c>
      <c r="C51" s="126" t="s">
        <v>1674</v>
      </c>
      <c r="D51" s="126" t="s">
        <v>518</v>
      </c>
      <c r="F51" s="126" t="s">
        <v>3880</v>
      </c>
      <c r="G51" s="129" t="s">
        <v>2549</v>
      </c>
      <c r="H51" s="126" t="s">
        <v>2989</v>
      </c>
      <c r="I51" s="132" t="s">
        <v>3090</v>
      </c>
      <c r="J51" s="135" t="s">
        <v>3228</v>
      </c>
    </row>
    <row r="52" spans="1:10" ht="126" x14ac:dyDescent="0.2">
      <c r="A52">
        <v>49</v>
      </c>
      <c r="B52" s="136" t="s">
        <v>3280</v>
      </c>
      <c r="C52" s="126" t="s">
        <v>1675</v>
      </c>
      <c r="D52" s="126" t="s">
        <v>518</v>
      </c>
      <c r="F52" s="126" t="s">
        <v>3881</v>
      </c>
      <c r="G52" s="129" t="s">
        <v>2550</v>
      </c>
      <c r="H52" s="126" t="s">
        <v>447</v>
      </c>
      <c r="I52" s="132" t="s">
        <v>3091</v>
      </c>
      <c r="J52" s="135" t="s">
        <v>3228</v>
      </c>
    </row>
    <row r="53" spans="1:10" ht="31.5" x14ac:dyDescent="0.2">
      <c r="A53">
        <v>50</v>
      </c>
      <c r="B53" s="136" t="s">
        <v>3281</v>
      </c>
      <c r="C53" s="126" t="s">
        <v>1676</v>
      </c>
      <c r="D53" s="126" t="s">
        <v>2146</v>
      </c>
      <c r="F53" s="126" t="s">
        <v>3751</v>
      </c>
      <c r="G53" s="129" t="s">
        <v>2551</v>
      </c>
      <c r="H53" s="126" t="s">
        <v>2999</v>
      </c>
      <c r="I53" s="133">
        <v>15000</v>
      </c>
      <c r="J53" s="135" t="s">
        <v>3228</v>
      </c>
    </row>
    <row r="54" spans="1:10" ht="78.75" x14ac:dyDescent="0.2">
      <c r="A54">
        <v>51</v>
      </c>
      <c r="B54" s="136" t="s">
        <v>3282</v>
      </c>
      <c r="C54" s="126" t="s">
        <v>1677</v>
      </c>
      <c r="D54" s="126" t="s">
        <v>518</v>
      </c>
      <c r="F54" s="126" t="s">
        <v>3880</v>
      </c>
      <c r="G54" s="129" t="s">
        <v>2552</v>
      </c>
      <c r="H54" s="126" t="s">
        <v>2989</v>
      </c>
      <c r="I54" s="132" t="s">
        <v>3092</v>
      </c>
      <c r="J54" s="135" t="s">
        <v>3228</v>
      </c>
    </row>
    <row r="55" spans="1:10" ht="63" x14ac:dyDescent="0.2">
      <c r="A55">
        <v>52</v>
      </c>
      <c r="B55" s="136" t="s">
        <v>3283</v>
      </c>
      <c r="C55" s="126" t="s">
        <v>1678</v>
      </c>
      <c r="D55" s="126" t="s">
        <v>518</v>
      </c>
      <c r="F55" s="126" t="s">
        <v>3875</v>
      </c>
      <c r="G55" s="129" t="s">
        <v>2553</v>
      </c>
      <c r="H55" s="126" t="s">
        <v>2989</v>
      </c>
      <c r="I55" s="132" t="s">
        <v>3093</v>
      </c>
      <c r="J55" s="135" t="s">
        <v>3228</v>
      </c>
    </row>
    <row r="56" spans="1:10" ht="63" x14ac:dyDescent="0.2">
      <c r="A56">
        <v>53</v>
      </c>
      <c r="B56" s="136" t="s">
        <v>3284</v>
      </c>
      <c r="C56" s="126" t="s">
        <v>1679</v>
      </c>
      <c r="D56" s="126" t="s">
        <v>518</v>
      </c>
      <c r="F56" s="126" t="s">
        <v>3875</v>
      </c>
      <c r="G56" s="129" t="s">
        <v>2554</v>
      </c>
      <c r="H56" s="126" t="s">
        <v>2989</v>
      </c>
      <c r="I56" s="132" t="s">
        <v>3093</v>
      </c>
      <c r="J56" s="135" t="s">
        <v>3228</v>
      </c>
    </row>
    <row r="57" spans="1:10" ht="63" x14ac:dyDescent="0.2">
      <c r="A57">
        <v>54</v>
      </c>
      <c r="B57" s="136" t="s">
        <v>3285</v>
      </c>
      <c r="C57" s="126" t="s">
        <v>1680</v>
      </c>
      <c r="D57" s="126" t="s">
        <v>518</v>
      </c>
      <c r="F57" s="126" t="s">
        <v>3875</v>
      </c>
      <c r="G57" s="129" t="s">
        <v>2555</v>
      </c>
      <c r="H57" s="126" t="s">
        <v>2989</v>
      </c>
      <c r="I57" s="132" t="s">
        <v>3094</v>
      </c>
      <c r="J57" s="135" t="s">
        <v>3228</v>
      </c>
    </row>
    <row r="58" spans="1:10" ht="63" x14ac:dyDescent="0.2">
      <c r="A58">
        <v>55</v>
      </c>
      <c r="B58" s="136" t="s">
        <v>3286</v>
      </c>
      <c r="C58" s="126" t="s">
        <v>1681</v>
      </c>
      <c r="D58" s="126" t="s">
        <v>518</v>
      </c>
      <c r="F58" s="126" t="s">
        <v>3875</v>
      </c>
      <c r="G58" s="129" t="s">
        <v>2556</v>
      </c>
      <c r="H58" s="126" t="s">
        <v>2989</v>
      </c>
      <c r="I58" s="132" t="s">
        <v>3093</v>
      </c>
      <c r="J58" s="135" t="s">
        <v>3228</v>
      </c>
    </row>
    <row r="59" spans="1:10" ht="94.5" x14ac:dyDescent="0.2">
      <c r="A59">
        <v>56</v>
      </c>
      <c r="B59" s="136" t="s">
        <v>3287</v>
      </c>
      <c r="C59" s="126" t="s">
        <v>1682</v>
      </c>
      <c r="D59" s="126" t="s">
        <v>2147</v>
      </c>
      <c r="F59" s="126" t="s">
        <v>3878</v>
      </c>
      <c r="G59" s="129" t="s">
        <v>2557</v>
      </c>
      <c r="H59" s="126" t="s">
        <v>2989</v>
      </c>
      <c r="I59" s="132" t="s">
        <v>3095</v>
      </c>
      <c r="J59" s="135" t="s">
        <v>3228</v>
      </c>
    </row>
    <row r="60" spans="1:10" ht="94.5" x14ac:dyDescent="0.2">
      <c r="A60">
        <v>57</v>
      </c>
      <c r="B60" s="136" t="s">
        <v>3288</v>
      </c>
      <c r="C60" s="126" t="s">
        <v>1683</v>
      </c>
      <c r="D60" s="126" t="s">
        <v>2148</v>
      </c>
      <c r="F60" s="126" t="s">
        <v>3878</v>
      </c>
      <c r="G60" s="129" t="s">
        <v>2558</v>
      </c>
      <c r="H60" s="126" t="s">
        <v>2989</v>
      </c>
      <c r="I60" s="132" t="s">
        <v>3095</v>
      </c>
      <c r="J60" s="135" t="s">
        <v>3228</v>
      </c>
    </row>
    <row r="61" spans="1:10" ht="94.5" x14ac:dyDescent="0.2">
      <c r="A61">
        <v>58</v>
      </c>
      <c r="B61" s="136" t="s">
        <v>3289</v>
      </c>
      <c r="C61" s="126" t="s">
        <v>1684</v>
      </c>
      <c r="D61" s="126" t="s">
        <v>2149</v>
      </c>
      <c r="F61" s="126" t="s">
        <v>3878</v>
      </c>
      <c r="G61" s="129" t="s">
        <v>2559</v>
      </c>
      <c r="H61" s="126" t="s">
        <v>2989</v>
      </c>
      <c r="I61" s="132" t="s">
        <v>3095</v>
      </c>
      <c r="J61" s="135" t="s">
        <v>3228</v>
      </c>
    </row>
    <row r="62" spans="1:10" ht="94.5" x14ac:dyDescent="0.2">
      <c r="A62">
        <v>59</v>
      </c>
      <c r="B62" s="136" t="s">
        <v>3290</v>
      </c>
      <c r="C62" s="126" t="s">
        <v>1685</v>
      </c>
      <c r="D62" s="126" t="s">
        <v>2150</v>
      </c>
      <c r="F62" s="126" t="s">
        <v>3878</v>
      </c>
      <c r="G62" s="129" t="s">
        <v>2560</v>
      </c>
      <c r="H62" s="126" t="s">
        <v>2989</v>
      </c>
      <c r="I62" s="132" t="s">
        <v>3095</v>
      </c>
      <c r="J62" s="135" t="s">
        <v>3228</v>
      </c>
    </row>
    <row r="63" spans="1:10" ht="94.5" x14ac:dyDescent="0.2">
      <c r="A63">
        <v>60</v>
      </c>
      <c r="B63" s="136" t="s">
        <v>3291</v>
      </c>
      <c r="C63" s="126" t="s">
        <v>1686</v>
      </c>
      <c r="D63" s="126" t="s">
        <v>2151</v>
      </c>
      <c r="F63" s="126" t="s">
        <v>3878</v>
      </c>
      <c r="G63" s="129" t="s">
        <v>2561</v>
      </c>
      <c r="H63" s="126" t="s">
        <v>2989</v>
      </c>
      <c r="I63" s="132" t="s">
        <v>3095</v>
      </c>
      <c r="J63" s="135" t="s">
        <v>3228</v>
      </c>
    </row>
    <row r="64" spans="1:10" ht="94.5" x14ac:dyDescent="0.2">
      <c r="A64">
        <v>61</v>
      </c>
      <c r="B64" s="136" t="s">
        <v>3292</v>
      </c>
      <c r="C64" s="126" t="s">
        <v>1687</v>
      </c>
      <c r="D64" s="126" t="s">
        <v>2152</v>
      </c>
      <c r="F64" s="126" t="s">
        <v>3878</v>
      </c>
      <c r="G64" s="129" t="s">
        <v>2562</v>
      </c>
      <c r="H64" s="126" t="s">
        <v>2989</v>
      </c>
      <c r="I64" s="132" t="s">
        <v>3096</v>
      </c>
      <c r="J64" s="135" t="s">
        <v>3228</v>
      </c>
    </row>
    <row r="65" spans="1:10" ht="47.25" x14ac:dyDescent="0.2">
      <c r="A65">
        <v>62</v>
      </c>
      <c r="B65" s="136" t="s">
        <v>3293</v>
      </c>
      <c r="C65" s="126" t="s">
        <v>1688</v>
      </c>
      <c r="D65" s="126" t="s">
        <v>2153</v>
      </c>
      <c r="F65" s="126" t="s">
        <v>2491</v>
      </c>
      <c r="G65" s="129" t="s">
        <v>2563</v>
      </c>
      <c r="H65" s="126" t="s">
        <v>2989</v>
      </c>
      <c r="I65" s="133">
        <v>50000</v>
      </c>
      <c r="J65" s="135" t="s">
        <v>3228</v>
      </c>
    </row>
    <row r="66" spans="1:10" ht="47.25" x14ac:dyDescent="0.2">
      <c r="A66">
        <v>63</v>
      </c>
      <c r="B66" s="136" t="s">
        <v>3294</v>
      </c>
      <c r="C66" s="126" t="s">
        <v>1689</v>
      </c>
      <c r="D66" s="126" t="s">
        <v>2154</v>
      </c>
      <c r="F66" s="126" t="s">
        <v>2471</v>
      </c>
      <c r="G66" s="129" t="s">
        <v>2564</v>
      </c>
      <c r="H66" s="126" t="s">
        <v>2989</v>
      </c>
      <c r="I66" s="133">
        <v>80000</v>
      </c>
      <c r="J66" s="135" t="s">
        <v>3228</v>
      </c>
    </row>
    <row r="67" spans="1:10" ht="31.5" x14ac:dyDescent="0.2">
      <c r="A67">
        <v>64</v>
      </c>
      <c r="B67" s="136" t="s">
        <v>3295</v>
      </c>
      <c r="C67" s="126" t="s">
        <v>1690</v>
      </c>
      <c r="D67" s="126" t="s">
        <v>2155</v>
      </c>
      <c r="F67" s="126" t="s">
        <v>3882</v>
      </c>
      <c r="G67" s="129" t="s">
        <v>2565</v>
      </c>
      <c r="H67" s="126" t="s">
        <v>2989</v>
      </c>
      <c r="I67" s="133">
        <v>350000</v>
      </c>
      <c r="J67" s="135" t="s">
        <v>3228</v>
      </c>
    </row>
    <row r="68" spans="1:10" ht="31.5" x14ac:dyDescent="0.2">
      <c r="A68">
        <v>65</v>
      </c>
      <c r="B68" s="136" t="s">
        <v>3296</v>
      </c>
      <c r="C68" s="126" t="s">
        <v>1690</v>
      </c>
      <c r="D68" s="126" t="s">
        <v>2156</v>
      </c>
      <c r="F68" s="126" t="s">
        <v>3886</v>
      </c>
      <c r="G68" s="129" t="s">
        <v>2565</v>
      </c>
      <c r="H68" s="126" t="s">
        <v>2989</v>
      </c>
      <c r="I68" s="132" t="s">
        <v>3097</v>
      </c>
      <c r="J68" s="135" t="s">
        <v>3228</v>
      </c>
    </row>
    <row r="69" spans="1:10" ht="47.25" x14ac:dyDescent="0.2">
      <c r="A69">
        <v>66</v>
      </c>
      <c r="B69" s="136" t="s">
        <v>3297</v>
      </c>
      <c r="C69" s="126" t="s">
        <v>1691</v>
      </c>
      <c r="D69" s="126" t="s">
        <v>518</v>
      </c>
      <c r="F69" s="126" t="s">
        <v>2491</v>
      </c>
      <c r="G69" s="129" t="s">
        <v>2566</v>
      </c>
      <c r="H69" s="126" t="s">
        <v>2989</v>
      </c>
      <c r="I69" s="132" t="s">
        <v>3098</v>
      </c>
      <c r="J69" s="135" t="s">
        <v>3228</v>
      </c>
    </row>
    <row r="70" spans="1:10" ht="63" x14ac:dyDescent="0.2">
      <c r="A70">
        <v>67</v>
      </c>
      <c r="B70" s="136" t="s">
        <v>3298</v>
      </c>
      <c r="C70" s="126" t="s">
        <v>1692</v>
      </c>
      <c r="D70" s="126" t="s">
        <v>2157</v>
      </c>
      <c r="F70" s="126" t="s">
        <v>3883</v>
      </c>
      <c r="G70" s="129" t="s">
        <v>2567</v>
      </c>
      <c r="H70" s="126" t="s">
        <v>2989</v>
      </c>
      <c r="I70" s="132" t="s">
        <v>3099</v>
      </c>
      <c r="J70" s="135" t="s">
        <v>3228</v>
      </c>
    </row>
    <row r="71" spans="1:10" ht="63" x14ac:dyDescent="0.2">
      <c r="A71">
        <v>68</v>
      </c>
      <c r="B71" s="136" t="s">
        <v>3299</v>
      </c>
      <c r="C71" s="126" t="s">
        <v>1693</v>
      </c>
      <c r="D71" s="126" t="s">
        <v>2158</v>
      </c>
      <c r="F71" s="126" t="s">
        <v>3884</v>
      </c>
      <c r="G71" s="129" t="s">
        <v>2568</v>
      </c>
      <c r="H71" s="126" t="s">
        <v>2989</v>
      </c>
      <c r="I71" s="132" t="s">
        <v>3100</v>
      </c>
      <c r="J71" s="135" t="s">
        <v>3228</v>
      </c>
    </row>
    <row r="72" spans="1:10" ht="47.25" x14ac:dyDescent="0.2">
      <c r="A72">
        <v>69</v>
      </c>
      <c r="B72" s="136" t="s">
        <v>3300</v>
      </c>
      <c r="C72" s="126" t="s">
        <v>3887</v>
      </c>
      <c r="D72" s="126" t="s">
        <v>2159</v>
      </c>
      <c r="F72" s="126" t="s">
        <v>3888</v>
      </c>
      <c r="G72" s="130" t="s">
        <v>3889</v>
      </c>
      <c r="H72" s="126" t="s">
        <v>2989</v>
      </c>
      <c r="I72" s="132" t="s">
        <v>3101</v>
      </c>
      <c r="J72" s="135" t="s">
        <v>3228</v>
      </c>
    </row>
    <row r="73" spans="1:10" ht="47.25" x14ac:dyDescent="0.2">
      <c r="A73">
        <v>70</v>
      </c>
      <c r="B73" s="136" t="s">
        <v>3301</v>
      </c>
      <c r="C73" s="126" t="s">
        <v>1694</v>
      </c>
      <c r="D73" s="126" t="s">
        <v>2160</v>
      </c>
      <c r="F73" s="126" t="s">
        <v>2491</v>
      </c>
      <c r="G73" s="129" t="s">
        <v>2569</v>
      </c>
      <c r="H73" s="126" t="s">
        <v>2989</v>
      </c>
      <c r="I73" s="132" t="s">
        <v>3102</v>
      </c>
      <c r="J73" s="135" t="s">
        <v>3228</v>
      </c>
    </row>
    <row r="74" spans="1:10" ht="47.25" x14ac:dyDescent="0.2">
      <c r="A74">
        <v>71</v>
      </c>
      <c r="B74" s="136" t="s">
        <v>3302</v>
      </c>
      <c r="C74" s="126" t="s">
        <v>1695</v>
      </c>
      <c r="D74" s="126" t="s">
        <v>518</v>
      </c>
      <c r="F74" s="126" t="s">
        <v>2491</v>
      </c>
      <c r="G74" s="129" t="s">
        <v>2570</v>
      </c>
      <c r="H74" s="126" t="s">
        <v>2989</v>
      </c>
      <c r="I74" s="133">
        <v>40000</v>
      </c>
      <c r="J74" s="135" t="s">
        <v>3228</v>
      </c>
    </row>
    <row r="75" spans="1:10" ht="47.25" x14ac:dyDescent="0.2">
      <c r="A75">
        <v>72</v>
      </c>
      <c r="B75" s="136" t="s">
        <v>3303</v>
      </c>
      <c r="C75" s="126" t="s">
        <v>1696</v>
      </c>
      <c r="D75" s="126" t="s">
        <v>518</v>
      </c>
      <c r="F75" s="126" t="s">
        <v>2491</v>
      </c>
      <c r="G75" s="129" t="s">
        <v>2571</v>
      </c>
      <c r="H75" s="126" t="s">
        <v>2989</v>
      </c>
      <c r="I75" s="132" t="s">
        <v>3098</v>
      </c>
      <c r="J75" s="135" t="s">
        <v>3228</v>
      </c>
    </row>
    <row r="76" spans="1:10" ht="47.25" x14ac:dyDescent="0.2">
      <c r="A76">
        <v>73</v>
      </c>
      <c r="B76" s="136" t="s">
        <v>3304</v>
      </c>
      <c r="C76" s="126" t="s">
        <v>1697</v>
      </c>
      <c r="D76" s="126" t="s">
        <v>518</v>
      </c>
      <c r="F76" s="126" t="s">
        <v>2491</v>
      </c>
      <c r="G76" s="129" t="s">
        <v>2572</v>
      </c>
      <c r="H76" s="126" t="s">
        <v>2989</v>
      </c>
      <c r="I76" s="132" t="s">
        <v>3098</v>
      </c>
      <c r="J76" s="135" t="s">
        <v>3228</v>
      </c>
    </row>
    <row r="77" spans="1:10" ht="47.25" x14ac:dyDescent="0.2">
      <c r="A77">
        <v>74</v>
      </c>
      <c r="B77" s="136" t="s">
        <v>3305</v>
      </c>
      <c r="C77" s="126" t="s">
        <v>1698</v>
      </c>
      <c r="D77" s="126" t="s">
        <v>518</v>
      </c>
      <c r="F77" s="126" t="s">
        <v>2491</v>
      </c>
      <c r="G77" s="129" t="s">
        <v>2573</v>
      </c>
      <c r="H77" s="126" t="s">
        <v>2989</v>
      </c>
      <c r="I77" s="133">
        <v>40000</v>
      </c>
      <c r="J77" s="135" t="s">
        <v>3228</v>
      </c>
    </row>
    <row r="78" spans="1:10" ht="47.25" x14ac:dyDescent="0.2">
      <c r="A78">
        <v>75</v>
      </c>
      <c r="B78" s="136" t="s">
        <v>3306</v>
      </c>
      <c r="C78" s="126" t="s">
        <v>1699</v>
      </c>
      <c r="D78" s="126" t="s">
        <v>518</v>
      </c>
      <c r="F78" s="126" t="s">
        <v>2491</v>
      </c>
      <c r="G78" s="129" t="s">
        <v>2574</v>
      </c>
      <c r="H78" s="126" t="s">
        <v>2989</v>
      </c>
      <c r="I78" s="133">
        <v>40000</v>
      </c>
      <c r="J78" s="135" t="s">
        <v>3228</v>
      </c>
    </row>
    <row r="79" spans="1:10" ht="47.25" x14ac:dyDescent="0.2">
      <c r="A79">
        <v>76</v>
      </c>
      <c r="B79" s="136" t="s">
        <v>3307</v>
      </c>
      <c r="C79" s="126" t="s">
        <v>1700</v>
      </c>
      <c r="D79" s="126" t="s">
        <v>518</v>
      </c>
      <c r="F79" s="126" t="s">
        <v>2491</v>
      </c>
      <c r="G79" s="129" t="s">
        <v>2575</v>
      </c>
      <c r="H79" s="126" t="s">
        <v>2989</v>
      </c>
      <c r="I79" s="133">
        <v>40000</v>
      </c>
      <c r="J79" s="135" t="s">
        <v>3228</v>
      </c>
    </row>
    <row r="80" spans="1:10" ht="47.25" x14ac:dyDescent="0.2">
      <c r="A80">
        <v>77</v>
      </c>
      <c r="B80" s="136" t="s">
        <v>3308</v>
      </c>
      <c r="C80" s="126" t="s">
        <v>1701</v>
      </c>
      <c r="D80" s="126" t="s">
        <v>518</v>
      </c>
      <c r="F80" s="126" t="s">
        <v>2491</v>
      </c>
      <c r="G80" s="129" t="s">
        <v>2576</v>
      </c>
      <c r="H80" s="126" t="s">
        <v>2989</v>
      </c>
      <c r="I80" s="133">
        <v>40000</v>
      </c>
      <c r="J80" s="135" t="s">
        <v>3228</v>
      </c>
    </row>
    <row r="81" spans="1:10" ht="47.25" x14ac:dyDescent="0.2">
      <c r="A81">
        <v>78</v>
      </c>
      <c r="B81" s="136" t="s">
        <v>3309</v>
      </c>
      <c r="C81" s="126" t="s">
        <v>1702</v>
      </c>
      <c r="D81" s="126" t="s">
        <v>518</v>
      </c>
      <c r="F81" s="126" t="s">
        <v>2491</v>
      </c>
      <c r="G81" s="129" t="s">
        <v>2577</v>
      </c>
      <c r="H81" s="126" t="s">
        <v>2989</v>
      </c>
      <c r="I81" s="132" t="s">
        <v>3098</v>
      </c>
      <c r="J81" s="135" t="s">
        <v>3228</v>
      </c>
    </row>
    <row r="82" spans="1:10" ht="47.25" x14ac:dyDescent="0.2">
      <c r="A82">
        <v>79</v>
      </c>
      <c r="B82" s="136" t="s">
        <v>3310</v>
      </c>
      <c r="C82" s="126" t="s">
        <v>1703</v>
      </c>
      <c r="D82" s="126" t="s">
        <v>518</v>
      </c>
      <c r="F82" s="126" t="s">
        <v>2491</v>
      </c>
      <c r="G82" s="129" t="s">
        <v>2578</v>
      </c>
      <c r="H82" s="126" t="s">
        <v>2989</v>
      </c>
      <c r="I82" s="132" t="s">
        <v>3098</v>
      </c>
      <c r="J82" s="135" t="s">
        <v>3228</v>
      </c>
    </row>
    <row r="83" spans="1:10" ht="31.5" x14ac:dyDescent="0.2">
      <c r="A83">
        <v>80</v>
      </c>
      <c r="B83" s="136" t="s">
        <v>3311</v>
      </c>
      <c r="C83" s="126" t="s">
        <v>1704</v>
      </c>
      <c r="D83" s="126" t="s">
        <v>2159</v>
      </c>
      <c r="F83" s="126" t="s">
        <v>3882</v>
      </c>
      <c r="G83" s="129" t="s">
        <v>2579</v>
      </c>
      <c r="H83" s="126" t="s">
        <v>2989</v>
      </c>
      <c r="I83" s="133">
        <v>280000</v>
      </c>
      <c r="J83" s="135" t="s">
        <v>3228</v>
      </c>
    </row>
    <row r="84" spans="1:10" ht="78.75" x14ac:dyDescent="0.2">
      <c r="A84">
        <v>81</v>
      </c>
      <c r="B84" s="136" t="s">
        <v>3312</v>
      </c>
      <c r="C84" s="126" t="s">
        <v>1705</v>
      </c>
      <c r="D84" s="126" t="s">
        <v>2161</v>
      </c>
      <c r="E84" s="126"/>
      <c r="F84" s="126" t="s">
        <v>3903</v>
      </c>
      <c r="G84" s="129" t="s">
        <v>2580</v>
      </c>
      <c r="H84" s="126" t="s">
        <v>3000</v>
      </c>
      <c r="I84" s="132" t="s">
        <v>3103</v>
      </c>
      <c r="J84" s="135" t="s">
        <v>3228</v>
      </c>
    </row>
    <row r="85" spans="1:10" ht="78.75" x14ac:dyDescent="0.2">
      <c r="A85">
        <v>82</v>
      </c>
      <c r="B85" s="136" t="s">
        <v>3313</v>
      </c>
      <c r="C85" s="126" t="s">
        <v>1705</v>
      </c>
      <c r="D85" s="126" t="s">
        <v>2162</v>
      </c>
      <c r="E85" s="126"/>
      <c r="F85" s="126" t="s">
        <v>3904</v>
      </c>
      <c r="G85" s="129" t="s">
        <v>2581</v>
      </c>
      <c r="H85" s="126" t="s">
        <v>3001</v>
      </c>
      <c r="I85" s="133">
        <v>100000</v>
      </c>
      <c r="J85" s="135" t="s">
        <v>3228</v>
      </c>
    </row>
    <row r="86" spans="1:10" ht="78.75" x14ac:dyDescent="0.2">
      <c r="A86">
        <v>83</v>
      </c>
      <c r="B86" s="136" t="s">
        <v>3314</v>
      </c>
      <c r="C86" s="126" t="s">
        <v>1706</v>
      </c>
      <c r="D86" s="126" t="s">
        <v>2163</v>
      </c>
      <c r="E86" s="126"/>
      <c r="F86" s="126" t="s">
        <v>3903</v>
      </c>
      <c r="G86" s="129" t="s">
        <v>2582</v>
      </c>
      <c r="H86" s="126" t="s">
        <v>28</v>
      </c>
      <c r="I86" s="132" t="s">
        <v>3104</v>
      </c>
      <c r="J86" s="135" t="s">
        <v>3228</v>
      </c>
    </row>
    <row r="87" spans="1:10" ht="31.5" x14ac:dyDescent="0.2">
      <c r="A87">
        <v>84</v>
      </c>
      <c r="B87" s="136" t="s">
        <v>3315</v>
      </c>
      <c r="C87" s="126" t="s">
        <v>1707</v>
      </c>
      <c r="D87" s="126" t="s">
        <v>2164</v>
      </c>
      <c r="F87" s="126" t="s">
        <v>2491</v>
      </c>
      <c r="G87" s="130" t="s">
        <v>2583</v>
      </c>
      <c r="H87" s="126" t="s">
        <v>2989</v>
      </c>
      <c r="I87" s="132" t="s">
        <v>3105</v>
      </c>
      <c r="J87" s="135" t="s">
        <v>3228</v>
      </c>
    </row>
    <row r="88" spans="1:10" ht="31.5" x14ac:dyDescent="0.2">
      <c r="A88">
        <v>85</v>
      </c>
      <c r="B88" s="136" t="s">
        <v>3316</v>
      </c>
      <c r="C88" s="126" t="s">
        <v>1708</v>
      </c>
      <c r="D88" s="126" t="s">
        <v>2165</v>
      </c>
      <c r="F88" s="126" t="s">
        <v>2491</v>
      </c>
      <c r="G88" s="129" t="s">
        <v>2584</v>
      </c>
      <c r="H88" s="126" t="s">
        <v>2992</v>
      </c>
      <c r="I88" s="133">
        <v>250000</v>
      </c>
      <c r="J88" s="135" t="s">
        <v>3228</v>
      </c>
    </row>
    <row r="89" spans="1:10" ht="31.5" x14ac:dyDescent="0.2">
      <c r="A89">
        <v>86</v>
      </c>
      <c r="B89" s="136" t="s">
        <v>3317</v>
      </c>
      <c r="C89" s="126" t="s">
        <v>1709</v>
      </c>
      <c r="D89" s="126" t="s">
        <v>2166</v>
      </c>
      <c r="F89" s="126" t="s">
        <v>2491</v>
      </c>
      <c r="G89" s="129" t="s">
        <v>2585</v>
      </c>
      <c r="H89" s="126" t="s">
        <v>2992</v>
      </c>
      <c r="I89" s="133">
        <v>250000</v>
      </c>
      <c r="J89" s="135" t="s">
        <v>3228</v>
      </c>
    </row>
    <row r="90" spans="1:10" ht="31.5" x14ac:dyDescent="0.2">
      <c r="A90">
        <v>87</v>
      </c>
      <c r="B90" s="136" t="s">
        <v>3318</v>
      </c>
      <c r="C90" s="126" t="s">
        <v>1710</v>
      </c>
      <c r="D90" s="126" t="s">
        <v>2167</v>
      </c>
      <c r="F90" s="126" t="s">
        <v>2491</v>
      </c>
      <c r="G90" s="129" t="s">
        <v>2586</v>
      </c>
      <c r="H90" s="126" t="s">
        <v>2992</v>
      </c>
      <c r="I90" s="133">
        <v>250000</v>
      </c>
      <c r="J90" s="135" t="s">
        <v>3228</v>
      </c>
    </row>
    <row r="91" spans="1:10" ht="47.25" x14ac:dyDescent="0.2">
      <c r="A91">
        <v>88</v>
      </c>
      <c r="B91" s="136" t="s">
        <v>3319</v>
      </c>
      <c r="C91" s="126" t="s">
        <v>1711</v>
      </c>
      <c r="D91" s="126" t="s">
        <v>2168</v>
      </c>
      <c r="F91" s="126" t="s">
        <v>3881</v>
      </c>
      <c r="G91" s="129" t="s">
        <v>2587</v>
      </c>
      <c r="H91" s="126" t="s">
        <v>2992</v>
      </c>
      <c r="I91" s="132" t="s">
        <v>3106</v>
      </c>
      <c r="J91" s="135" t="s">
        <v>3228</v>
      </c>
    </row>
    <row r="92" spans="1:10" ht="47.25" x14ac:dyDescent="0.2">
      <c r="A92">
        <v>89</v>
      </c>
      <c r="B92" s="136" t="s">
        <v>3320</v>
      </c>
      <c r="C92" s="126" t="s">
        <v>1712</v>
      </c>
      <c r="D92" s="126" t="s">
        <v>2169</v>
      </c>
      <c r="F92" s="126" t="s">
        <v>2471</v>
      </c>
      <c r="G92" s="129" t="s">
        <v>2588</v>
      </c>
      <c r="H92" s="126" t="s">
        <v>2990</v>
      </c>
      <c r="I92" s="132" t="s">
        <v>3107</v>
      </c>
      <c r="J92" s="135" t="s">
        <v>3228</v>
      </c>
    </row>
    <row r="93" spans="1:10" ht="47.25" x14ac:dyDescent="0.2">
      <c r="A93">
        <v>90</v>
      </c>
      <c r="B93" s="136" t="s">
        <v>3321</v>
      </c>
      <c r="C93" s="126" t="s">
        <v>1713</v>
      </c>
      <c r="D93" s="126" t="s">
        <v>2170</v>
      </c>
      <c r="F93" s="126" t="s">
        <v>2471</v>
      </c>
      <c r="G93" s="129" t="s">
        <v>2589</v>
      </c>
      <c r="H93" s="126" t="s">
        <v>2989</v>
      </c>
      <c r="I93" s="132" t="s">
        <v>3080</v>
      </c>
      <c r="J93" s="135" t="s">
        <v>3228</v>
      </c>
    </row>
    <row r="94" spans="1:10" ht="31.5" x14ac:dyDescent="0.2">
      <c r="A94">
        <v>91</v>
      </c>
      <c r="B94" s="136" t="s">
        <v>3322</v>
      </c>
      <c r="C94" s="126" t="s">
        <v>1714</v>
      </c>
      <c r="D94" s="126" t="s">
        <v>518</v>
      </c>
      <c r="F94" s="126" t="s">
        <v>2471</v>
      </c>
      <c r="G94" s="129" t="s">
        <v>2590</v>
      </c>
      <c r="H94" s="126" t="s">
        <v>2989</v>
      </c>
      <c r="I94" s="133">
        <v>6900000</v>
      </c>
      <c r="J94" s="135" t="s">
        <v>3228</v>
      </c>
    </row>
    <row r="95" spans="1:10" ht="63" x14ac:dyDescent="0.2">
      <c r="A95">
        <v>92</v>
      </c>
      <c r="B95" s="136" t="s">
        <v>3323</v>
      </c>
      <c r="C95" s="126" t="s">
        <v>1715</v>
      </c>
      <c r="D95" s="126" t="s">
        <v>518</v>
      </c>
      <c r="F95" s="126" t="s">
        <v>2471</v>
      </c>
      <c r="G95" s="129" t="s">
        <v>2591</v>
      </c>
      <c r="H95" s="126" t="s">
        <v>2991</v>
      </c>
      <c r="I95" s="133">
        <v>6500000</v>
      </c>
      <c r="J95" s="135" t="s">
        <v>3228</v>
      </c>
    </row>
    <row r="96" spans="1:10" ht="63" x14ac:dyDescent="0.2">
      <c r="A96">
        <v>93</v>
      </c>
      <c r="B96" s="136" t="s">
        <v>3324</v>
      </c>
      <c r="C96" s="126" t="s">
        <v>1716</v>
      </c>
      <c r="D96" s="126" t="s">
        <v>518</v>
      </c>
      <c r="F96" s="126" t="s">
        <v>2471</v>
      </c>
      <c r="G96" s="129" t="s">
        <v>2592</v>
      </c>
      <c r="H96" s="126" t="s">
        <v>2991</v>
      </c>
      <c r="I96" s="133">
        <v>4000000</v>
      </c>
      <c r="J96" s="135" t="s">
        <v>3228</v>
      </c>
    </row>
    <row r="97" spans="1:10" ht="47.25" x14ac:dyDescent="0.2">
      <c r="A97">
        <v>94</v>
      </c>
      <c r="B97" s="136" t="s">
        <v>3325</v>
      </c>
      <c r="C97" s="126" t="s">
        <v>1717</v>
      </c>
      <c r="D97" s="126" t="s">
        <v>518</v>
      </c>
      <c r="F97" s="126" t="s">
        <v>2471</v>
      </c>
      <c r="G97" s="129" t="s">
        <v>2593</v>
      </c>
      <c r="H97" s="126" t="s">
        <v>2991</v>
      </c>
      <c r="I97" s="133">
        <v>3300000</v>
      </c>
      <c r="J97" s="135" t="s">
        <v>3228</v>
      </c>
    </row>
    <row r="98" spans="1:10" ht="31.5" x14ac:dyDescent="0.2">
      <c r="A98">
        <v>95</v>
      </c>
      <c r="B98" s="136" t="s">
        <v>3326</v>
      </c>
      <c r="C98" s="126" t="s">
        <v>1718</v>
      </c>
      <c r="D98" s="126" t="s">
        <v>518</v>
      </c>
      <c r="F98" s="126" t="s">
        <v>2471</v>
      </c>
      <c r="G98" s="129" t="s">
        <v>2594</v>
      </c>
      <c r="H98" s="126" t="s">
        <v>2989</v>
      </c>
      <c r="I98" s="132" t="s">
        <v>3108</v>
      </c>
      <c r="J98" s="135" t="s">
        <v>3228</v>
      </c>
    </row>
    <row r="99" spans="1:10" ht="31.5" x14ac:dyDescent="0.2">
      <c r="A99">
        <v>96</v>
      </c>
      <c r="B99" s="136" t="s">
        <v>3327</v>
      </c>
      <c r="C99" s="126" t="s">
        <v>1719</v>
      </c>
      <c r="D99" s="126" t="s">
        <v>518</v>
      </c>
      <c r="F99" s="126" t="s">
        <v>2471</v>
      </c>
      <c r="G99" s="129" t="s">
        <v>2594</v>
      </c>
      <c r="H99" s="126" t="s">
        <v>2989</v>
      </c>
      <c r="I99" s="132" t="s">
        <v>3108</v>
      </c>
      <c r="J99" s="135" t="s">
        <v>3228</v>
      </c>
    </row>
    <row r="100" spans="1:10" ht="63" x14ac:dyDescent="0.2">
      <c r="A100">
        <v>97</v>
      </c>
      <c r="B100" s="136" t="s">
        <v>3328</v>
      </c>
      <c r="C100" s="126" t="s">
        <v>1720</v>
      </c>
      <c r="D100" s="126" t="s">
        <v>518</v>
      </c>
      <c r="F100" s="126" t="s">
        <v>2471</v>
      </c>
      <c r="G100" s="129" t="s">
        <v>2595</v>
      </c>
      <c r="H100" s="126" t="s">
        <v>2991</v>
      </c>
      <c r="I100" s="133">
        <v>3300000</v>
      </c>
      <c r="J100" s="135" t="s">
        <v>3228</v>
      </c>
    </row>
    <row r="101" spans="1:10" ht="31.5" x14ac:dyDescent="0.2">
      <c r="A101">
        <v>98</v>
      </c>
      <c r="B101" s="136" t="s">
        <v>3329</v>
      </c>
      <c r="C101" s="126" t="s">
        <v>1721</v>
      </c>
      <c r="D101" s="126" t="s">
        <v>2171</v>
      </c>
      <c r="F101" s="126" t="s">
        <v>3891</v>
      </c>
      <c r="G101" s="129" t="s">
        <v>2596</v>
      </c>
      <c r="H101" s="126" t="s">
        <v>3002</v>
      </c>
      <c r="I101" s="132" t="s">
        <v>3109</v>
      </c>
      <c r="J101" s="135" t="s">
        <v>3228</v>
      </c>
    </row>
    <row r="102" spans="1:10" ht="31.5" x14ac:dyDescent="0.2">
      <c r="A102">
        <v>99</v>
      </c>
      <c r="B102" s="136" t="s">
        <v>3330</v>
      </c>
      <c r="C102" s="126" t="s">
        <v>1722</v>
      </c>
      <c r="D102" s="126" t="s">
        <v>2172</v>
      </c>
      <c r="F102" s="126" t="s">
        <v>3891</v>
      </c>
      <c r="G102" s="129" t="s">
        <v>2597</v>
      </c>
      <c r="H102" s="126" t="s">
        <v>3002</v>
      </c>
      <c r="I102" s="132" t="s">
        <v>3110</v>
      </c>
      <c r="J102" s="135" t="s">
        <v>3228</v>
      </c>
    </row>
    <row r="103" spans="1:10" ht="31.5" x14ac:dyDescent="0.2">
      <c r="A103">
        <v>100</v>
      </c>
      <c r="B103" s="136" t="s">
        <v>3331</v>
      </c>
      <c r="C103" s="126" t="s">
        <v>1723</v>
      </c>
      <c r="D103" s="126" t="s">
        <v>2173</v>
      </c>
      <c r="F103" s="126" t="s">
        <v>3891</v>
      </c>
      <c r="G103" s="129" t="s">
        <v>2598</v>
      </c>
      <c r="H103" s="126" t="s">
        <v>3002</v>
      </c>
      <c r="I103" s="132" t="s">
        <v>3111</v>
      </c>
      <c r="J103" s="135" t="s">
        <v>3228</v>
      </c>
    </row>
    <row r="104" spans="1:10" ht="31.5" x14ac:dyDescent="0.2">
      <c r="A104">
        <v>101</v>
      </c>
      <c r="B104" s="136" t="s">
        <v>3332</v>
      </c>
      <c r="C104" s="126" t="s">
        <v>1724</v>
      </c>
      <c r="D104" s="126" t="s">
        <v>2174</v>
      </c>
      <c r="F104" s="126" t="s">
        <v>3891</v>
      </c>
      <c r="G104" s="129" t="s">
        <v>2599</v>
      </c>
      <c r="H104" s="126" t="s">
        <v>3002</v>
      </c>
      <c r="I104" s="132" t="s">
        <v>3112</v>
      </c>
      <c r="J104" s="135" t="s">
        <v>3228</v>
      </c>
    </row>
    <row r="105" spans="1:10" ht="31.5" x14ac:dyDescent="0.2">
      <c r="A105">
        <v>102</v>
      </c>
      <c r="B105" s="136" t="s">
        <v>3333</v>
      </c>
      <c r="C105" s="126" t="s">
        <v>1725</v>
      </c>
      <c r="D105" s="126" t="s">
        <v>2175</v>
      </c>
      <c r="E105" s="126"/>
      <c r="F105" s="126" t="s">
        <v>2473</v>
      </c>
      <c r="G105" s="129" t="s">
        <v>2600</v>
      </c>
      <c r="H105" s="126" t="s">
        <v>2989</v>
      </c>
      <c r="I105" s="133">
        <v>65000</v>
      </c>
      <c r="J105" s="135" t="s">
        <v>3228</v>
      </c>
    </row>
    <row r="106" spans="1:10" ht="31.5" x14ac:dyDescent="0.2">
      <c r="A106">
        <v>103</v>
      </c>
      <c r="B106" s="136" t="s">
        <v>3334</v>
      </c>
      <c r="C106" s="126" t="s">
        <v>1726</v>
      </c>
      <c r="D106" s="126" t="s">
        <v>518</v>
      </c>
      <c r="F106" s="126" t="s">
        <v>2471</v>
      </c>
      <c r="G106" s="129" t="s">
        <v>2601</v>
      </c>
      <c r="H106" s="126" t="s">
        <v>2989</v>
      </c>
      <c r="I106" s="133">
        <v>65000</v>
      </c>
      <c r="J106" s="135" t="s">
        <v>3228</v>
      </c>
    </row>
    <row r="107" spans="1:10" ht="31.5" x14ac:dyDescent="0.2">
      <c r="A107">
        <v>104</v>
      </c>
      <c r="B107" s="136" t="s">
        <v>3335</v>
      </c>
      <c r="C107" s="126" t="s">
        <v>1727</v>
      </c>
      <c r="D107" s="126" t="s">
        <v>518</v>
      </c>
      <c r="F107" s="126" t="s">
        <v>2471</v>
      </c>
      <c r="G107" s="129" t="s">
        <v>2602</v>
      </c>
      <c r="H107" s="126" t="s">
        <v>2989</v>
      </c>
      <c r="I107" s="133">
        <v>65000</v>
      </c>
      <c r="J107" s="135" t="s">
        <v>3228</v>
      </c>
    </row>
    <row r="108" spans="1:10" ht="31.5" x14ac:dyDescent="0.2">
      <c r="A108">
        <v>105</v>
      </c>
      <c r="B108" s="136" t="s">
        <v>3336</v>
      </c>
      <c r="C108" s="126" t="s">
        <v>1728</v>
      </c>
      <c r="D108" s="126" t="s">
        <v>518</v>
      </c>
      <c r="F108" s="126" t="s">
        <v>2471</v>
      </c>
      <c r="G108" s="129" t="s">
        <v>2603</v>
      </c>
      <c r="H108" s="126" t="s">
        <v>2989</v>
      </c>
      <c r="I108" s="133">
        <v>65000</v>
      </c>
      <c r="J108" s="135" t="s">
        <v>3228</v>
      </c>
    </row>
    <row r="109" spans="1:10" ht="31.5" x14ac:dyDescent="0.2">
      <c r="A109">
        <v>106</v>
      </c>
      <c r="B109" s="136" t="s">
        <v>3337</v>
      </c>
      <c r="C109" s="126" t="s">
        <v>1729</v>
      </c>
      <c r="D109" s="126" t="s">
        <v>518</v>
      </c>
      <c r="F109" s="126" t="s">
        <v>2471</v>
      </c>
      <c r="G109" s="129" t="s">
        <v>2604</v>
      </c>
      <c r="H109" s="126" t="s">
        <v>2989</v>
      </c>
      <c r="I109" s="133">
        <v>65000</v>
      </c>
      <c r="J109" s="135" t="s">
        <v>3228</v>
      </c>
    </row>
    <row r="110" spans="1:10" ht="31.5" x14ac:dyDescent="0.2">
      <c r="A110">
        <v>107</v>
      </c>
      <c r="B110" s="136" t="s">
        <v>3338</v>
      </c>
      <c r="C110" s="126" t="s">
        <v>1730</v>
      </c>
      <c r="D110" s="126" t="s">
        <v>518</v>
      </c>
      <c r="F110" s="126" t="s">
        <v>2471</v>
      </c>
      <c r="G110" s="129" t="s">
        <v>2605</v>
      </c>
      <c r="H110" s="126" t="s">
        <v>2989</v>
      </c>
      <c r="I110" s="133">
        <v>65000</v>
      </c>
      <c r="J110" s="135" t="s">
        <v>3228</v>
      </c>
    </row>
    <row r="111" spans="1:10" ht="31.5" x14ac:dyDescent="0.2">
      <c r="A111">
        <v>108</v>
      </c>
      <c r="B111" s="136" t="s">
        <v>3339</v>
      </c>
      <c r="C111" s="126" t="s">
        <v>1731</v>
      </c>
      <c r="D111" s="126" t="s">
        <v>518</v>
      </c>
      <c r="F111" s="126" t="s">
        <v>2471</v>
      </c>
      <c r="G111" s="129" t="s">
        <v>2606</v>
      </c>
      <c r="H111" s="126" t="s">
        <v>2989</v>
      </c>
      <c r="I111" s="133">
        <v>65000</v>
      </c>
      <c r="J111" s="135" t="s">
        <v>3228</v>
      </c>
    </row>
    <row r="112" spans="1:10" ht="31.5" x14ac:dyDescent="0.2">
      <c r="A112">
        <v>109</v>
      </c>
      <c r="B112" s="136" t="s">
        <v>3340</v>
      </c>
      <c r="C112" s="126" t="s">
        <v>1732</v>
      </c>
      <c r="D112" s="126" t="s">
        <v>518</v>
      </c>
      <c r="F112" s="126" t="s">
        <v>2471</v>
      </c>
      <c r="G112" s="129" t="s">
        <v>2607</v>
      </c>
      <c r="H112" s="126" t="s">
        <v>2989</v>
      </c>
      <c r="I112" s="133">
        <v>65000</v>
      </c>
      <c r="J112" s="135" t="s">
        <v>3228</v>
      </c>
    </row>
    <row r="113" spans="1:10" ht="47.25" x14ac:dyDescent="0.2">
      <c r="A113">
        <v>110</v>
      </c>
      <c r="B113" s="136" t="s">
        <v>3341</v>
      </c>
      <c r="C113" s="126" t="s">
        <v>1733</v>
      </c>
      <c r="D113" s="126" t="s">
        <v>518</v>
      </c>
      <c r="F113" s="126" t="s">
        <v>2491</v>
      </c>
      <c r="G113" s="129" t="s">
        <v>2608</v>
      </c>
      <c r="H113" s="126" t="s">
        <v>2991</v>
      </c>
      <c r="I113" s="133">
        <v>50000</v>
      </c>
      <c r="J113" s="135" t="s">
        <v>3228</v>
      </c>
    </row>
    <row r="114" spans="1:10" ht="47.25" x14ac:dyDescent="0.2">
      <c r="A114">
        <v>111</v>
      </c>
      <c r="B114" s="136" t="s">
        <v>3342</v>
      </c>
      <c r="C114" s="126" t="s">
        <v>1734</v>
      </c>
      <c r="D114" s="126" t="s">
        <v>518</v>
      </c>
      <c r="F114" s="126" t="s">
        <v>2491</v>
      </c>
      <c r="G114" s="129" t="s">
        <v>2609</v>
      </c>
      <c r="H114" s="126" t="s">
        <v>2991</v>
      </c>
      <c r="I114" s="133">
        <v>150000</v>
      </c>
      <c r="J114" s="135" t="s">
        <v>3228</v>
      </c>
    </row>
    <row r="115" spans="1:10" ht="31.5" x14ac:dyDescent="0.2">
      <c r="A115">
        <v>112</v>
      </c>
      <c r="B115" s="136" t="s">
        <v>3343</v>
      </c>
      <c r="C115" s="126" t="s">
        <v>1735</v>
      </c>
      <c r="D115" s="126" t="s">
        <v>518</v>
      </c>
      <c r="F115" s="126" t="s">
        <v>2471</v>
      </c>
      <c r="G115" s="129" t="s">
        <v>2610</v>
      </c>
      <c r="H115" s="126" t="s">
        <v>2991</v>
      </c>
      <c r="I115" s="133">
        <v>150000</v>
      </c>
      <c r="J115" s="135" t="s">
        <v>3228</v>
      </c>
    </row>
    <row r="116" spans="1:10" ht="31.5" x14ac:dyDescent="0.2">
      <c r="A116">
        <v>113</v>
      </c>
      <c r="B116" s="136" t="s">
        <v>3344</v>
      </c>
      <c r="C116" s="126" t="s">
        <v>1736</v>
      </c>
      <c r="D116" s="126" t="s">
        <v>518</v>
      </c>
      <c r="F116" s="126" t="s">
        <v>2471</v>
      </c>
      <c r="G116" s="129" t="s">
        <v>2611</v>
      </c>
      <c r="H116" s="126" t="s">
        <v>2991</v>
      </c>
      <c r="I116" s="133">
        <v>100000</v>
      </c>
      <c r="J116" s="135" t="s">
        <v>3228</v>
      </c>
    </row>
    <row r="117" spans="1:10" ht="31.5" x14ac:dyDescent="0.2">
      <c r="A117">
        <v>114</v>
      </c>
      <c r="B117" s="136" t="s">
        <v>3345</v>
      </c>
      <c r="C117" s="126" t="s">
        <v>1737</v>
      </c>
      <c r="D117" s="126" t="s">
        <v>518</v>
      </c>
      <c r="F117" s="126" t="s">
        <v>2471</v>
      </c>
      <c r="G117" s="129" t="s">
        <v>2612</v>
      </c>
      <c r="H117" s="126" t="s">
        <v>2991</v>
      </c>
      <c r="I117" s="133">
        <v>150000</v>
      </c>
      <c r="J117" s="135" t="s">
        <v>3228</v>
      </c>
    </row>
    <row r="118" spans="1:10" ht="31.5" x14ac:dyDescent="0.2">
      <c r="A118">
        <v>115</v>
      </c>
      <c r="B118" s="136" t="s">
        <v>3346</v>
      </c>
      <c r="C118" s="126" t="s">
        <v>1738</v>
      </c>
      <c r="D118" s="126" t="s">
        <v>2176</v>
      </c>
      <c r="F118" s="126" t="s">
        <v>3872</v>
      </c>
      <c r="G118" s="129" t="s">
        <v>2613</v>
      </c>
      <c r="H118" s="126" t="s">
        <v>2991</v>
      </c>
      <c r="I118" s="133">
        <v>50000</v>
      </c>
      <c r="J118" s="135" t="s">
        <v>3228</v>
      </c>
    </row>
    <row r="119" spans="1:10" ht="47.25" x14ac:dyDescent="0.2">
      <c r="A119">
        <v>116</v>
      </c>
      <c r="B119" s="136" t="s">
        <v>3347</v>
      </c>
      <c r="C119" s="126" t="s">
        <v>1739</v>
      </c>
      <c r="D119" s="126" t="s">
        <v>2177</v>
      </c>
      <c r="F119" s="126" t="s">
        <v>2471</v>
      </c>
      <c r="G119" s="129" t="s">
        <v>2614</v>
      </c>
      <c r="H119" s="126" t="s">
        <v>2989</v>
      </c>
      <c r="I119" s="132" t="s">
        <v>3113</v>
      </c>
      <c r="J119" s="135" t="s">
        <v>3228</v>
      </c>
    </row>
    <row r="120" spans="1:10" ht="78.75" x14ac:dyDescent="0.2">
      <c r="A120">
        <v>117</v>
      </c>
      <c r="B120" s="136" t="s">
        <v>3348</v>
      </c>
      <c r="C120" s="126" t="s">
        <v>1740</v>
      </c>
      <c r="D120" s="126" t="s">
        <v>2178</v>
      </c>
      <c r="E120" s="126"/>
      <c r="F120" s="126" t="s">
        <v>2474</v>
      </c>
      <c r="G120" s="129" t="s">
        <v>2615</v>
      </c>
      <c r="H120" s="126" t="s">
        <v>2991</v>
      </c>
      <c r="I120" s="133">
        <v>150000</v>
      </c>
      <c r="J120" s="135" t="s">
        <v>3228</v>
      </c>
    </row>
    <row r="121" spans="1:10" ht="31.5" x14ac:dyDescent="0.2">
      <c r="A121">
        <v>118</v>
      </c>
      <c r="B121" s="136" t="s">
        <v>3349</v>
      </c>
      <c r="C121" s="126" t="s">
        <v>1741</v>
      </c>
      <c r="D121" s="126" t="s">
        <v>2179</v>
      </c>
      <c r="F121" s="126" t="s">
        <v>3872</v>
      </c>
      <c r="G121" s="129" t="s">
        <v>2616</v>
      </c>
      <c r="H121" s="126" t="s">
        <v>2991</v>
      </c>
      <c r="I121" s="133">
        <v>150000</v>
      </c>
      <c r="J121" s="135" t="s">
        <v>3228</v>
      </c>
    </row>
    <row r="122" spans="1:10" ht="47.25" x14ac:dyDescent="0.2">
      <c r="A122">
        <v>119</v>
      </c>
      <c r="B122" s="136" t="s">
        <v>3350</v>
      </c>
      <c r="C122" s="126" t="s">
        <v>1741</v>
      </c>
      <c r="D122" s="126" t="s">
        <v>2180</v>
      </c>
      <c r="F122" s="126" t="s">
        <v>2471</v>
      </c>
      <c r="G122" s="129" t="s">
        <v>2617</v>
      </c>
      <c r="H122" s="126" t="s">
        <v>2989</v>
      </c>
      <c r="I122" s="132" t="s">
        <v>3114</v>
      </c>
      <c r="J122" s="135" t="s">
        <v>3228</v>
      </c>
    </row>
    <row r="123" spans="1:10" ht="31.5" x14ac:dyDescent="0.2">
      <c r="A123">
        <v>120</v>
      </c>
      <c r="B123" s="136" t="s">
        <v>3351</v>
      </c>
      <c r="C123" s="126" t="s">
        <v>1742</v>
      </c>
      <c r="D123" s="126" t="s">
        <v>2181</v>
      </c>
      <c r="F123" s="126" t="s">
        <v>2471</v>
      </c>
      <c r="G123" s="129" t="s">
        <v>2618</v>
      </c>
      <c r="H123" s="126" t="s">
        <v>2989</v>
      </c>
      <c r="I123" s="132" t="s">
        <v>3115</v>
      </c>
      <c r="J123" s="135" t="s">
        <v>3228</v>
      </c>
    </row>
    <row r="124" spans="1:10" ht="15.75" x14ac:dyDescent="0.2">
      <c r="A124">
        <v>121</v>
      </c>
      <c r="B124" s="136" t="s">
        <v>3352</v>
      </c>
      <c r="C124" s="126" t="s">
        <v>1743</v>
      </c>
      <c r="D124" s="126" t="s">
        <v>2182</v>
      </c>
      <c r="F124" s="126" t="s">
        <v>3843</v>
      </c>
      <c r="G124" s="129" t="s">
        <v>2619</v>
      </c>
      <c r="H124" s="126" t="s">
        <v>2989</v>
      </c>
      <c r="I124" s="132" t="s">
        <v>3116</v>
      </c>
      <c r="J124" s="135" t="s">
        <v>3228</v>
      </c>
    </row>
    <row r="125" spans="1:10" ht="94.5" x14ac:dyDescent="0.2">
      <c r="A125">
        <v>122</v>
      </c>
      <c r="B125" s="136" t="s">
        <v>3353</v>
      </c>
      <c r="C125" s="126" t="s">
        <v>1744</v>
      </c>
      <c r="D125" s="126" t="s">
        <v>2183</v>
      </c>
      <c r="F125" s="126" t="s">
        <v>2471</v>
      </c>
      <c r="G125" s="129" t="s">
        <v>2620</v>
      </c>
      <c r="H125" s="126" t="s">
        <v>2991</v>
      </c>
      <c r="I125" s="132" t="s">
        <v>3117</v>
      </c>
      <c r="J125" s="135" t="s">
        <v>3228</v>
      </c>
    </row>
    <row r="126" spans="1:10" ht="63" x14ac:dyDescent="0.2">
      <c r="A126">
        <v>123</v>
      </c>
      <c r="B126" s="136" t="s">
        <v>3354</v>
      </c>
      <c r="C126" s="126" t="s">
        <v>1745</v>
      </c>
      <c r="D126" s="126" t="s">
        <v>2184</v>
      </c>
      <c r="F126" s="126" t="s">
        <v>2471</v>
      </c>
      <c r="G126" s="129" t="s">
        <v>2621</v>
      </c>
      <c r="H126" s="126" t="s">
        <v>447</v>
      </c>
      <c r="I126" s="132" t="s">
        <v>3118</v>
      </c>
      <c r="J126" s="135" t="s">
        <v>3228</v>
      </c>
    </row>
    <row r="127" spans="1:10" ht="63" x14ac:dyDescent="0.2">
      <c r="A127">
        <v>124</v>
      </c>
      <c r="B127" s="136" t="s">
        <v>3355</v>
      </c>
      <c r="C127" s="126" t="s">
        <v>1746</v>
      </c>
      <c r="D127" s="126" t="s">
        <v>2185</v>
      </c>
      <c r="F127" s="126" t="s">
        <v>3750</v>
      </c>
      <c r="G127" s="129" t="s">
        <v>2622</v>
      </c>
      <c r="H127" s="126" t="s">
        <v>2989</v>
      </c>
      <c r="I127" s="133">
        <v>1500000</v>
      </c>
      <c r="J127" s="135" t="s">
        <v>3228</v>
      </c>
    </row>
    <row r="128" spans="1:10" ht="63" x14ac:dyDescent="0.2">
      <c r="A128">
        <v>125</v>
      </c>
      <c r="B128" s="136" t="s">
        <v>3356</v>
      </c>
      <c r="C128" s="126" t="s">
        <v>1747</v>
      </c>
      <c r="D128" s="126" t="s">
        <v>2186</v>
      </c>
      <c r="F128" s="126" t="s">
        <v>3750</v>
      </c>
      <c r="G128" s="129" t="s">
        <v>2623</v>
      </c>
      <c r="H128" s="126" t="s">
        <v>2989</v>
      </c>
      <c r="I128" s="133">
        <v>1800000</v>
      </c>
      <c r="J128" s="135" t="s">
        <v>3228</v>
      </c>
    </row>
    <row r="129" spans="1:10" ht="31.5" x14ac:dyDescent="0.2">
      <c r="A129">
        <v>126</v>
      </c>
      <c r="B129" s="136" t="s">
        <v>3357</v>
      </c>
      <c r="C129" s="126" t="s">
        <v>1748</v>
      </c>
      <c r="D129" s="126" t="s">
        <v>2187</v>
      </c>
      <c r="F129" s="126" t="s">
        <v>3892</v>
      </c>
      <c r="G129" s="129" t="s">
        <v>2624</v>
      </c>
      <c r="H129" s="126" t="s">
        <v>2991</v>
      </c>
      <c r="I129" s="133">
        <v>1800000</v>
      </c>
      <c r="J129" s="135" t="s">
        <v>3228</v>
      </c>
    </row>
    <row r="130" spans="1:10" ht="47.25" x14ac:dyDescent="0.2">
      <c r="A130">
        <v>127</v>
      </c>
      <c r="B130" s="136" t="s">
        <v>3358</v>
      </c>
      <c r="C130" s="126" t="s">
        <v>1749</v>
      </c>
      <c r="D130" s="126" t="s">
        <v>2188</v>
      </c>
      <c r="E130" s="126"/>
      <c r="F130" s="126" t="s">
        <v>2475</v>
      </c>
      <c r="G130" s="129" t="s">
        <v>2625</v>
      </c>
      <c r="H130" s="126" t="s">
        <v>3003</v>
      </c>
      <c r="I130" s="133">
        <v>3000000</v>
      </c>
      <c r="J130" s="135" t="s">
        <v>3228</v>
      </c>
    </row>
    <row r="131" spans="1:10" ht="31.5" x14ac:dyDescent="0.2">
      <c r="A131">
        <v>128</v>
      </c>
      <c r="B131" s="136" t="s">
        <v>3359</v>
      </c>
      <c r="C131" s="126" t="s">
        <v>1750</v>
      </c>
      <c r="D131" s="126" t="s">
        <v>518</v>
      </c>
      <c r="F131" s="126" t="s">
        <v>2491</v>
      </c>
      <c r="G131" s="129" t="s">
        <v>2626</v>
      </c>
      <c r="H131" s="126" t="s">
        <v>2994</v>
      </c>
      <c r="I131" s="133">
        <v>300000</v>
      </c>
      <c r="J131" s="135" t="s">
        <v>3228</v>
      </c>
    </row>
    <row r="132" spans="1:10" ht="47.25" x14ac:dyDescent="0.2">
      <c r="A132">
        <v>129</v>
      </c>
      <c r="B132" s="136" t="s">
        <v>3360</v>
      </c>
      <c r="C132" s="126" t="s">
        <v>1751</v>
      </c>
      <c r="D132" s="126" t="s">
        <v>2189</v>
      </c>
      <c r="F132" s="126" t="s">
        <v>3893</v>
      </c>
      <c r="G132" s="129" t="s">
        <v>2627</v>
      </c>
      <c r="H132" s="126" t="s">
        <v>3004</v>
      </c>
      <c r="I132" s="133">
        <v>10795000</v>
      </c>
      <c r="J132" s="135" t="s">
        <v>3228</v>
      </c>
    </row>
    <row r="133" spans="1:10" ht="47.25" x14ac:dyDescent="0.2">
      <c r="A133">
        <v>130</v>
      </c>
      <c r="B133" s="136" t="s">
        <v>3361</v>
      </c>
      <c r="C133" s="126" t="s">
        <v>1752</v>
      </c>
      <c r="D133" s="126" t="s">
        <v>2190</v>
      </c>
      <c r="F133" s="126" t="s">
        <v>3893</v>
      </c>
      <c r="G133" s="129" t="s">
        <v>2628</v>
      </c>
      <c r="H133" s="126" t="s">
        <v>3004</v>
      </c>
      <c r="I133" s="133">
        <v>10795000</v>
      </c>
      <c r="J133" s="135" t="s">
        <v>3228</v>
      </c>
    </row>
    <row r="134" spans="1:10" ht="47.25" x14ac:dyDescent="0.2">
      <c r="A134">
        <v>131</v>
      </c>
      <c r="B134" s="136" t="s">
        <v>3362</v>
      </c>
      <c r="C134" s="126" t="s">
        <v>1753</v>
      </c>
      <c r="D134" s="126" t="s">
        <v>2191</v>
      </c>
      <c r="F134" s="126" t="s">
        <v>2491</v>
      </c>
      <c r="G134" s="129" t="s">
        <v>2629</v>
      </c>
      <c r="H134" s="126" t="s">
        <v>2989</v>
      </c>
      <c r="I134" s="132" t="s">
        <v>3119</v>
      </c>
      <c r="J134" s="135" t="s">
        <v>3228</v>
      </c>
    </row>
    <row r="135" spans="1:10" ht="94.5" x14ac:dyDescent="0.2">
      <c r="A135">
        <v>132</v>
      </c>
      <c r="B135" s="136" t="s">
        <v>3363</v>
      </c>
      <c r="C135" s="126" t="s">
        <v>1754</v>
      </c>
      <c r="D135" s="126" t="s">
        <v>2192</v>
      </c>
      <c r="F135" s="126" t="s">
        <v>3892</v>
      </c>
      <c r="G135" s="129" t="s">
        <v>2630</v>
      </c>
      <c r="H135" s="126" t="s">
        <v>2991</v>
      </c>
      <c r="I135" s="133">
        <v>1500000</v>
      </c>
      <c r="J135" s="135" t="s">
        <v>3228</v>
      </c>
    </row>
    <row r="136" spans="1:10" ht="157.5" x14ac:dyDescent="0.2">
      <c r="A136">
        <v>133</v>
      </c>
      <c r="B136" s="136" t="s">
        <v>3364</v>
      </c>
      <c r="C136" s="126" t="s">
        <v>1755</v>
      </c>
      <c r="D136" s="126" t="s">
        <v>2193</v>
      </c>
      <c r="F136" s="126" t="s">
        <v>3843</v>
      </c>
      <c r="G136" s="129" t="s">
        <v>3890</v>
      </c>
      <c r="H136" s="126" t="s">
        <v>2989</v>
      </c>
      <c r="I136" s="132" t="s">
        <v>3072</v>
      </c>
      <c r="J136" s="135" t="s">
        <v>3228</v>
      </c>
    </row>
    <row r="137" spans="1:10" ht="63" x14ac:dyDescent="0.2">
      <c r="A137">
        <v>134</v>
      </c>
      <c r="B137" s="136" t="s">
        <v>3365</v>
      </c>
      <c r="C137" s="126" t="s">
        <v>1756</v>
      </c>
      <c r="D137" s="126" t="s">
        <v>518</v>
      </c>
      <c r="F137" s="126" t="s">
        <v>2491</v>
      </c>
      <c r="G137" s="129" t="s">
        <v>2631</v>
      </c>
      <c r="H137" s="126" t="s">
        <v>2991</v>
      </c>
      <c r="I137" s="133">
        <v>800000</v>
      </c>
      <c r="J137" s="135" t="s">
        <v>3228</v>
      </c>
    </row>
    <row r="138" spans="1:10" ht="47.25" x14ac:dyDescent="0.2">
      <c r="A138">
        <v>135</v>
      </c>
      <c r="B138" s="136" t="s">
        <v>3366</v>
      </c>
      <c r="C138" s="126" t="s">
        <v>1757</v>
      </c>
      <c r="D138" s="126" t="s">
        <v>2194</v>
      </c>
      <c r="F138" s="126" t="s">
        <v>2491</v>
      </c>
      <c r="G138" s="129" t="s">
        <v>2632</v>
      </c>
      <c r="H138" s="126" t="s">
        <v>2989</v>
      </c>
      <c r="I138" s="132" t="s">
        <v>3120</v>
      </c>
      <c r="J138" s="135" t="s">
        <v>3228</v>
      </c>
    </row>
    <row r="139" spans="1:10" ht="31.5" x14ac:dyDescent="0.2">
      <c r="A139">
        <v>136</v>
      </c>
      <c r="B139" s="136" t="s">
        <v>3367</v>
      </c>
      <c r="C139" s="127" t="s">
        <v>1758</v>
      </c>
      <c r="D139" s="127"/>
      <c r="F139" s="127" t="s">
        <v>3905</v>
      </c>
      <c r="G139" s="131" t="s">
        <v>2633</v>
      </c>
      <c r="H139" s="127" t="s">
        <v>3005</v>
      </c>
      <c r="I139" s="134" t="s">
        <v>3121</v>
      </c>
      <c r="J139" s="135" t="s">
        <v>3228</v>
      </c>
    </row>
    <row r="140" spans="1:10" ht="110.25" x14ac:dyDescent="0.2">
      <c r="A140">
        <v>137</v>
      </c>
      <c r="B140" s="136" t="s">
        <v>3368</v>
      </c>
      <c r="C140" s="126" t="s">
        <v>1759</v>
      </c>
      <c r="D140" s="126" t="s">
        <v>518</v>
      </c>
      <c r="F140" s="126" t="s">
        <v>2476</v>
      </c>
      <c r="G140" s="129" t="s">
        <v>2634</v>
      </c>
      <c r="H140" s="126" t="s">
        <v>3005</v>
      </c>
      <c r="I140" s="132" t="s">
        <v>3122</v>
      </c>
      <c r="J140" s="135" t="s">
        <v>3228</v>
      </c>
    </row>
    <row r="141" spans="1:10" ht="31.5" x14ac:dyDescent="0.2">
      <c r="A141">
        <v>138</v>
      </c>
      <c r="B141" s="136" t="s">
        <v>3369</v>
      </c>
      <c r="C141" s="127" t="s">
        <v>1760</v>
      </c>
      <c r="D141" s="127"/>
      <c r="F141" s="127" t="s">
        <v>3905</v>
      </c>
      <c r="G141" s="131" t="s">
        <v>2635</v>
      </c>
      <c r="H141" s="127" t="s">
        <v>3005</v>
      </c>
      <c r="I141" s="134" t="s">
        <v>3123</v>
      </c>
      <c r="J141" s="135" t="s">
        <v>3228</v>
      </c>
    </row>
    <row r="142" spans="1:10" ht="141.75" x14ac:dyDescent="0.2">
      <c r="A142">
        <v>139</v>
      </c>
      <c r="B142" s="136" t="s">
        <v>3370</v>
      </c>
      <c r="C142" s="126" t="s">
        <v>1761</v>
      </c>
      <c r="D142" s="126" t="s">
        <v>518</v>
      </c>
      <c r="F142" s="126" t="s">
        <v>2476</v>
      </c>
      <c r="G142" s="129" t="s">
        <v>2636</v>
      </c>
      <c r="H142" s="126" t="s">
        <v>3005</v>
      </c>
      <c r="I142" s="132" t="s">
        <v>3120</v>
      </c>
      <c r="J142" s="135" t="s">
        <v>3228</v>
      </c>
    </row>
    <row r="143" spans="1:10" ht="31.5" x14ac:dyDescent="0.2">
      <c r="A143">
        <v>140</v>
      </c>
      <c r="B143" s="136" t="s">
        <v>3371</v>
      </c>
      <c r="C143" s="127" t="s">
        <v>1762</v>
      </c>
      <c r="D143" s="127"/>
      <c r="F143" s="127" t="s">
        <v>3905</v>
      </c>
      <c r="G143" s="131" t="s">
        <v>2637</v>
      </c>
      <c r="H143" s="127" t="s">
        <v>3005</v>
      </c>
      <c r="I143" s="134" t="s">
        <v>3124</v>
      </c>
      <c r="J143" s="135" t="s">
        <v>3228</v>
      </c>
    </row>
    <row r="144" spans="1:10" ht="94.5" x14ac:dyDescent="0.2">
      <c r="A144">
        <v>141</v>
      </c>
      <c r="B144" s="136" t="s">
        <v>3372</v>
      </c>
      <c r="C144" s="126" t="s">
        <v>1763</v>
      </c>
      <c r="D144" s="126" t="s">
        <v>518</v>
      </c>
      <c r="F144" s="126" t="s">
        <v>2476</v>
      </c>
      <c r="G144" s="129" t="s">
        <v>2638</v>
      </c>
      <c r="H144" s="126" t="s">
        <v>3005</v>
      </c>
      <c r="I144" s="132" t="s">
        <v>3097</v>
      </c>
      <c r="J144" s="135" t="s">
        <v>3228</v>
      </c>
    </row>
    <row r="145" spans="1:10" ht="31.5" x14ac:dyDescent="0.2">
      <c r="A145">
        <v>142</v>
      </c>
      <c r="B145" s="136" t="s">
        <v>3373</v>
      </c>
      <c r="C145" s="127" t="s">
        <v>1764</v>
      </c>
      <c r="D145" s="127"/>
      <c r="F145" s="127" t="s">
        <v>3905</v>
      </c>
      <c r="G145" s="131" t="s">
        <v>2637</v>
      </c>
      <c r="H145" s="127" t="s">
        <v>3005</v>
      </c>
      <c r="I145" s="134" t="s">
        <v>3124</v>
      </c>
      <c r="J145" s="135" t="s">
        <v>3228</v>
      </c>
    </row>
    <row r="146" spans="1:10" ht="110.25" x14ac:dyDescent="0.2">
      <c r="A146">
        <v>143</v>
      </c>
      <c r="B146" s="136" t="s">
        <v>3374</v>
      </c>
      <c r="C146" s="126" t="s">
        <v>1765</v>
      </c>
      <c r="D146" s="126" t="s">
        <v>518</v>
      </c>
      <c r="F146" s="126" t="s">
        <v>2476</v>
      </c>
      <c r="G146" s="129" t="s">
        <v>2639</v>
      </c>
      <c r="H146" s="126" t="s">
        <v>3005</v>
      </c>
      <c r="I146" s="132" t="s">
        <v>3097</v>
      </c>
      <c r="J146" s="135" t="s">
        <v>3228</v>
      </c>
    </row>
    <row r="147" spans="1:10" ht="110.25" x14ac:dyDescent="0.2">
      <c r="A147">
        <v>144</v>
      </c>
      <c r="B147" s="136" t="s">
        <v>3375</v>
      </c>
      <c r="C147" s="126" t="s">
        <v>1766</v>
      </c>
      <c r="D147" s="126" t="s">
        <v>518</v>
      </c>
      <c r="F147" s="126" t="s">
        <v>2476</v>
      </c>
      <c r="G147" s="129" t="s">
        <v>2640</v>
      </c>
      <c r="H147" s="126" t="s">
        <v>3005</v>
      </c>
      <c r="I147" s="132" t="s">
        <v>3125</v>
      </c>
      <c r="J147" s="135" t="s">
        <v>3228</v>
      </c>
    </row>
    <row r="148" spans="1:10" ht="141.75" x14ac:dyDescent="0.2">
      <c r="A148">
        <v>145</v>
      </c>
      <c r="B148" s="136" t="s">
        <v>3376</v>
      </c>
      <c r="C148" s="126" t="s">
        <v>1767</v>
      </c>
      <c r="D148" s="126" t="s">
        <v>518</v>
      </c>
      <c r="F148" s="126" t="s">
        <v>2476</v>
      </c>
      <c r="G148" s="130" t="s">
        <v>2641</v>
      </c>
      <c r="H148" s="126" t="s">
        <v>3005</v>
      </c>
      <c r="I148" s="132" t="s">
        <v>3122</v>
      </c>
      <c r="J148" s="135" t="s">
        <v>3228</v>
      </c>
    </row>
    <row r="149" spans="1:10" ht="31.5" x14ac:dyDescent="0.2">
      <c r="A149">
        <v>146</v>
      </c>
      <c r="B149" s="136" t="s">
        <v>3377</v>
      </c>
      <c r="C149" s="127" t="s">
        <v>1768</v>
      </c>
      <c r="D149" s="127"/>
      <c r="F149" s="127" t="s">
        <v>3905</v>
      </c>
      <c r="G149" s="131" t="s">
        <v>2642</v>
      </c>
      <c r="H149" s="127" t="s">
        <v>3005</v>
      </c>
      <c r="I149" s="134" t="s">
        <v>3126</v>
      </c>
      <c r="J149" s="135" t="s">
        <v>3228</v>
      </c>
    </row>
    <row r="150" spans="1:10" ht="94.5" x14ac:dyDescent="0.2">
      <c r="A150">
        <v>147</v>
      </c>
      <c r="B150" s="136" t="s">
        <v>3378</v>
      </c>
      <c r="C150" s="126" t="s">
        <v>1769</v>
      </c>
      <c r="D150" s="126" t="s">
        <v>518</v>
      </c>
      <c r="F150" s="126" t="s">
        <v>2476</v>
      </c>
      <c r="G150" s="129" t="s">
        <v>2643</v>
      </c>
      <c r="H150" s="126" t="s">
        <v>3005</v>
      </c>
      <c r="I150" s="132" t="s">
        <v>3127</v>
      </c>
      <c r="J150" s="135" t="s">
        <v>3228</v>
      </c>
    </row>
    <row r="151" spans="1:10" ht="47.25" x14ac:dyDescent="0.2">
      <c r="A151">
        <v>148</v>
      </c>
      <c r="B151" s="136" t="s">
        <v>3379</v>
      </c>
      <c r="C151" s="126" t="s">
        <v>1770</v>
      </c>
      <c r="D151" s="126" t="s">
        <v>2195</v>
      </c>
      <c r="F151" s="126" t="s">
        <v>3879</v>
      </c>
      <c r="G151" s="129" t="s">
        <v>2644</v>
      </c>
      <c r="H151" s="126" t="s">
        <v>2995</v>
      </c>
      <c r="I151" s="132" t="s">
        <v>3128</v>
      </c>
      <c r="J151" s="135" t="s">
        <v>3228</v>
      </c>
    </row>
    <row r="152" spans="1:10" ht="78.75" x14ac:dyDescent="0.2">
      <c r="A152">
        <v>149</v>
      </c>
      <c r="B152" s="136" t="s">
        <v>3380</v>
      </c>
      <c r="C152" s="126" t="s">
        <v>1771</v>
      </c>
      <c r="D152" s="126" t="s">
        <v>2196</v>
      </c>
      <c r="F152" s="126" t="s">
        <v>2471</v>
      </c>
      <c r="G152" s="129" t="s">
        <v>2645</v>
      </c>
      <c r="H152" s="126" t="s">
        <v>2991</v>
      </c>
      <c r="I152" s="133">
        <v>310000</v>
      </c>
      <c r="J152" s="135" t="s">
        <v>3228</v>
      </c>
    </row>
    <row r="153" spans="1:10" ht="78.75" x14ac:dyDescent="0.2">
      <c r="A153">
        <v>150</v>
      </c>
      <c r="B153" s="136" t="s">
        <v>3381</v>
      </c>
      <c r="C153" s="126" t="s">
        <v>1772</v>
      </c>
      <c r="D153" s="126" t="s">
        <v>2197</v>
      </c>
      <c r="F153" s="126" t="s">
        <v>3750</v>
      </c>
      <c r="G153" s="129" t="s">
        <v>2646</v>
      </c>
      <c r="H153" s="126" t="s">
        <v>3006</v>
      </c>
      <c r="I153" s="133">
        <v>4200000</v>
      </c>
      <c r="J153" s="135" t="s">
        <v>3228</v>
      </c>
    </row>
    <row r="154" spans="1:10" ht="47.25" x14ac:dyDescent="0.2">
      <c r="A154">
        <v>151</v>
      </c>
      <c r="B154" s="136" t="s">
        <v>3382</v>
      </c>
      <c r="C154" s="126" t="s">
        <v>1773</v>
      </c>
      <c r="D154" s="126" t="s">
        <v>2123</v>
      </c>
      <c r="F154" s="126" t="s">
        <v>3847</v>
      </c>
      <c r="G154" s="129" t="s">
        <v>2647</v>
      </c>
      <c r="H154" s="126" t="s">
        <v>2990</v>
      </c>
      <c r="I154" s="133">
        <v>560000</v>
      </c>
      <c r="J154" s="135" t="s">
        <v>3228</v>
      </c>
    </row>
    <row r="155" spans="1:10" ht="78.75" x14ac:dyDescent="0.2">
      <c r="A155">
        <v>152</v>
      </c>
      <c r="B155" s="136" t="s">
        <v>3383</v>
      </c>
      <c r="C155" s="126" t="s">
        <v>1774</v>
      </c>
      <c r="D155" s="126" t="s">
        <v>2198</v>
      </c>
      <c r="F155" s="126" t="s">
        <v>3879</v>
      </c>
      <c r="G155" s="129" t="s">
        <v>2648</v>
      </c>
      <c r="H155" s="126" t="s">
        <v>2995</v>
      </c>
      <c r="I155" s="132" t="s">
        <v>3129</v>
      </c>
      <c r="J155" s="135" t="s">
        <v>3228</v>
      </c>
    </row>
    <row r="156" spans="1:10" ht="78.75" x14ac:dyDescent="0.2">
      <c r="A156">
        <v>153</v>
      </c>
      <c r="B156" s="136" t="s">
        <v>3384</v>
      </c>
      <c r="C156" s="126" t="s">
        <v>1775</v>
      </c>
      <c r="D156" s="126" t="s">
        <v>2199</v>
      </c>
      <c r="F156" s="126" t="s">
        <v>3879</v>
      </c>
      <c r="G156" s="129" t="s">
        <v>2649</v>
      </c>
      <c r="H156" s="126" t="s">
        <v>2995</v>
      </c>
      <c r="I156" s="132" t="s">
        <v>3086</v>
      </c>
      <c r="J156" s="135" t="s">
        <v>3228</v>
      </c>
    </row>
    <row r="157" spans="1:10" ht="31.5" x14ac:dyDescent="0.2">
      <c r="A157">
        <v>154</v>
      </c>
      <c r="B157" s="136" t="s">
        <v>3385</v>
      </c>
      <c r="C157" s="126" t="s">
        <v>1776</v>
      </c>
      <c r="D157" s="126" t="s">
        <v>2200</v>
      </c>
      <c r="F157" s="126" t="s">
        <v>3882</v>
      </c>
      <c r="G157" s="129" t="s">
        <v>2650</v>
      </c>
      <c r="H157" s="126" t="s">
        <v>444</v>
      </c>
      <c r="I157" s="133">
        <v>1050000</v>
      </c>
      <c r="J157" s="135" t="s">
        <v>3228</v>
      </c>
    </row>
    <row r="158" spans="1:10" ht="78.75" x14ac:dyDescent="0.2">
      <c r="A158">
        <v>155</v>
      </c>
      <c r="B158" s="136" t="s">
        <v>3386</v>
      </c>
      <c r="C158" s="126" t="s">
        <v>1777</v>
      </c>
      <c r="D158" s="126" t="s">
        <v>2201</v>
      </c>
      <c r="F158" s="126" t="s">
        <v>3849</v>
      </c>
      <c r="G158" s="129" t="s">
        <v>2651</v>
      </c>
      <c r="H158" s="126" t="s">
        <v>2991</v>
      </c>
      <c r="I158" s="132" t="s">
        <v>3127</v>
      </c>
      <c r="J158" s="135" t="s">
        <v>3228</v>
      </c>
    </row>
    <row r="159" spans="1:10" ht="78.75" x14ac:dyDescent="0.2">
      <c r="A159">
        <v>156</v>
      </c>
      <c r="B159" s="136" t="s">
        <v>3387</v>
      </c>
      <c r="C159" s="126" t="s">
        <v>1778</v>
      </c>
      <c r="D159" s="126" t="s">
        <v>2202</v>
      </c>
      <c r="F159" s="126" t="s">
        <v>3850</v>
      </c>
      <c r="G159" s="129" t="s">
        <v>2652</v>
      </c>
      <c r="H159" s="126" t="s">
        <v>3007</v>
      </c>
      <c r="I159" s="132" t="s">
        <v>3130</v>
      </c>
      <c r="J159" s="135" t="s">
        <v>3228</v>
      </c>
    </row>
    <row r="160" spans="1:10" ht="157.5" x14ac:dyDescent="0.2">
      <c r="A160">
        <v>157</v>
      </c>
      <c r="B160" s="136" t="s">
        <v>3388</v>
      </c>
      <c r="C160" s="126" t="s">
        <v>1779</v>
      </c>
      <c r="D160" s="126" t="s">
        <v>2203</v>
      </c>
      <c r="F160" s="126" t="s">
        <v>2476</v>
      </c>
      <c r="G160" s="129" t="s">
        <v>2653</v>
      </c>
      <c r="H160" s="126" t="s">
        <v>3008</v>
      </c>
      <c r="I160" s="132" t="s">
        <v>3131</v>
      </c>
      <c r="J160" s="135" t="s">
        <v>3228</v>
      </c>
    </row>
    <row r="161" spans="1:10" ht="141.75" x14ac:dyDescent="0.2">
      <c r="A161">
        <v>158</v>
      </c>
      <c r="B161" s="136" t="s">
        <v>3389</v>
      </c>
      <c r="C161" s="126" t="s">
        <v>1780</v>
      </c>
      <c r="D161" s="126" t="s">
        <v>2204</v>
      </c>
      <c r="F161" s="126" t="s">
        <v>2476</v>
      </c>
      <c r="G161" s="129" t="s">
        <v>2654</v>
      </c>
      <c r="H161" s="126" t="s">
        <v>3008</v>
      </c>
      <c r="I161" s="132" t="s">
        <v>3132</v>
      </c>
      <c r="J161" s="135" t="s">
        <v>3228</v>
      </c>
    </row>
    <row r="162" spans="1:10" ht="63" x14ac:dyDescent="0.2">
      <c r="A162">
        <v>159</v>
      </c>
      <c r="B162" s="136" t="s">
        <v>3390</v>
      </c>
      <c r="C162" s="126" t="s">
        <v>1781</v>
      </c>
      <c r="D162" s="126" t="s">
        <v>2205</v>
      </c>
      <c r="F162" s="126" t="s">
        <v>3875</v>
      </c>
      <c r="G162" s="129" t="s">
        <v>2655</v>
      </c>
      <c r="H162" s="126" t="s">
        <v>32</v>
      </c>
      <c r="I162" s="133">
        <v>5500000</v>
      </c>
      <c r="J162" s="135" t="s">
        <v>3228</v>
      </c>
    </row>
    <row r="163" spans="1:10" ht="141.75" x14ac:dyDescent="0.2">
      <c r="A163">
        <v>160</v>
      </c>
      <c r="B163" s="136" t="s">
        <v>3391</v>
      </c>
      <c r="C163" s="126" t="s">
        <v>1782</v>
      </c>
      <c r="D163" s="126" t="s">
        <v>2206</v>
      </c>
      <c r="F163" s="126" t="s">
        <v>2476</v>
      </c>
      <c r="G163" s="129" t="s">
        <v>2656</v>
      </c>
      <c r="H163" s="126" t="s">
        <v>3008</v>
      </c>
      <c r="I163" s="132" t="s">
        <v>3133</v>
      </c>
      <c r="J163" s="135" t="s">
        <v>3228</v>
      </c>
    </row>
    <row r="164" spans="1:10" ht="94.5" x14ac:dyDescent="0.2">
      <c r="A164">
        <v>161</v>
      </c>
      <c r="B164" s="136" t="s">
        <v>3392</v>
      </c>
      <c r="C164" s="126" t="s">
        <v>1783</v>
      </c>
      <c r="D164" s="126" t="s">
        <v>2207</v>
      </c>
      <c r="E164" s="126"/>
      <c r="F164" s="126" t="s">
        <v>2477</v>
      </c>
      <c r="G164" s="129" t="s">
        <v>2657</v>
      </c>
      <c r="H164" s="126" t="s">
        <v>2991</v>
      </c>
      <c r="I164" s="132" t="s">
        <v>3100</v>
      </c>
      <c r="J164" s="135" t="s">
        <v>3228</v>
      </c>
    </row>
    <row r="165" spans="1:10" ht="31.5" x14ac:dyDescent="0.2">
      <c r="A165">
        <v>162</v>
      </c>
      <c r="B165" s="136" t="s">
        <v>3393</v>
      </c>
      <c r="C165" s="126" t="s">
        <v>1784</v>
      </c>
      <c r="D165" s="126" t="s">
        <v>518</v>
      </c>
      <c r="F165" s="126" t="s">
        <v>2471</v>
      </c>
      <c r="G165" s="129" t="s">
        <v>2658</v>
      </c>
      <c r="H165" s="126" t="s">
        <v>2990</v>
      </c>
      <c r="I165" s="133">
        <v>320000</v>
      </c>
      <c r="J165" s="135" t="s">
        <v>3228</v>
      </c>
    </row>
    <row r="166" spans="1:10" ht="173.25" x14ac:dyDescent="0.2">
      <c r="A166">
        <v>163</v>
      </c>
      <c r="B166" s="136" t="s">
        <v>3394</v>
      </c>
      <c r="C166" s="126" t="s">
        <v>1785</v>
      </c>
      <c r="D166" s="126" t="s">
        <v>518</v>
      </c>
      <c r="F166" s="126" t="s">
        <v>3885</v>
      </c>
      <c r="G166" s="129" t="s">
        <v>2659</v>
      </c>
      <c r="H166" s="126" t="s">
        <v>2989</v>
      </c>
      <c r="I166" s="132" t="s">
        <v>3134</v>
      </c>
      <c r="J166" s="135" t="s">
        <v>3228</v>
      </c>
    </row>
    <row r="167" spans="1:10" ht="173.25" x14ac:dyDescent="0.2">
      <c r="A167">
        <v>164</v>
      </c>
      <c r="B167" s="136" t="s">
        <v>3395</v>
      </c>
      <c r="C167" s="126" t="s">
        <v>1786</v>
      </c>
      <c r="D167" s="126" t="s">
        <v>518</v>
      </c>
      <c r="F167" s="126" t="s">
        <v>3885</v>
      </c>
      <c r="G167" s="129" t="s">
        <v>2660</v>
      </c>
      <c r="H167" s="126" t="s">
        <v>2989</v>
      </c>
      <c r="I167" s="132" t="s">
        <v>3134</v>
      </c>
      <c r="J167" s="135" t="s">
        <v>3228</v>
      </c>
    </row>
    <row r="168" spans="1:10" ht="173.25" x14ac:dyDescent="0.2">
      <c r="A168">
        <v>165</v>
      </c>
      <c r="B168" s="136" t="s">
        <v>3396</v>
      </c>
      <c r="C168" s="126" t="s">
        <v>1787</v>
      </c>
      <c r="D168" s="126" t="s">
        <v>518</v>
      </c>
      <c r="F168" s="126" t="s">
        <v>3885</v>
      </c>
      <c r="G168" s="129" t="s">
        <v>2661</v>
      </c>
      <c r="H168" s="126" t="s">
        <v>2989</v>
      </c>
      <c r="I168" s="132" t="s">
        <v>3134</v>
      </c>
      <c r="J168" s="135" t="s">
        <v>3228</v>
      </c>
    </row>
    <row r="169" spans="1:10" ht="47.25" x14ac:dyDescent="0.2">
      <c r="A169">
        <v>166</v>
      </c>
      <c r="B169" s="136" t="s">
        <v>3397</v>
      </c>
      <c r="C169" s="126" t="s">
        <v>1788</v>
      </c>
      <c r="D169" s="126" t="s">
        <v>2208</v>
      </c>
      <c r="F169" s="126" t="s">
        <v>3879</v>
      </c>
      <c r="G169" s="129" t="s">
        <v>2662</v>
      </c>
      <c r="H169" s="126" t="s">
        <v>2995</v>
      </c>
      <c r="I169" s="132" t="s">
        <v>3135</v>
      </c>
      <c r="J169" s="135" t="s">
        <v>3228</v>
      </c>
    </row>
    <row r="170" spans="1:10" ht="63" x14ac:dyDescent="0.2">
      <c r="A170">
        <v>167</v>
      </c>
      <c r="B170" s="136" t="s">
        <v>3398</v>
      </c>
      <c r="C170" s="126" t="s">
        <v>1789</v>
      </c>
      <c r="D170" s="126" t="s">
        <v>2209</v>
      </c>
      <c r="F170" s="126" t="s">
        <v>3878</v>
      </c>
      <c r="G170" s="129" t="s">
        <v>2663</v>
      </c>
      <c r="H170" s="126" t="s">
        <v>2987</v>
      </c>
      <c r="I170" s="132" t="s">
        <v>3136</v>
      </c>
      <c r="J170" s="135" t="s">
        <v>3228</v>
      </c>
    </row>
    <row r="171" spans="1:10" ht="63" x14ac:dyDescent="0.2">
      <c r="A171">
        <v>168</v>
      </c>
      <c r="B171" s="136" t="s">
        <v>3399</v>
      </c>
      <c r="C171" s="126" t="s">
        <v>1790</v>
      </c>
      <c r="D171" s="126" t="s">
        <v>2210</v>
      </c>
      <c r="F171" s="126" t="s">
        <v>3878</v>
      </c>
      <c r="G171" s="129" t="s">
        <v>2664</v>
      </c>
      <c r="H171" s="126" t="s">
        <v>2987</v>
      </c>
      <c r="I171" s="132" t="s">
        <v>3137</v>
      </c>
      <c r="J171" s="135" t="s">
        <v>3228</v>
      </c>
    </row>
    <row r="172" spans="1:10" ht="63" x14ac:dyDescent="0.2">
      <c r="A172">
        <v>169</v>
      </c>
      <c r="B172" s="136" t="s">
        <v>3400</v>
      </c>
      <c r="C172" s="126" t="s">
        <v>1791</v>
      </c>
      <c r="D172" s="126" t="s">
        <v>2211</v>
      </c>
      <c r="F172" s="126" t="s">
        <v>3878</v>
      </c>
      <c r="G172" s="129" t="s">
        <v>2665</v>
      </c>
      <c r="H172" s="126" t="s">
        <v>2987</v>
      </c>
      <c r="I172" s="132" t="s">
        <v>3138</v>
      </c>
      <c r="J172" s="135" t="s">
        <v>3228</v>
      </c>
    </row>
    <row r="173" spans="1:10" ht="63" x14ac:dyDescent="0.2">
      <c r="A173">
        <v>170</v>
      </c>
      <c r="B173" s="136" t="s">
        <v>3401</v>
      </c>
      <c r="C173" s="126" t="s">
        <v>1792</v>
      </c>
      <c r="D173" s="126" t="s">
        <v>2212</v>
      </c>
      <c r="F173" s="126" t="s">
        <v>3878</v>
      </c>
      <c r="G173" s="129" t="s">
        <v>2666</v>
      </c>
      <c r="H173" s="126" t="s">
        <v>2987</v>
      </c>
      <c r="I173" s="132" t="s">
        <v>3139</v>
      </c>
      <c r="J173" s="135" t="s">
        <v>3228</v>
      </c>
    </row>
    <row r="174" spans="1:10" ht="63" x14ac:dyDescent="0.2">
      <c r="A174">
        <v>171</v>
      </c>
      <c r="B174" s="136" t="s">
        <v>3402</v>
      </c>
      <c r="C174" s="126" t="s">
        <v>1793</v>
      </c>
      <c r="D174" s="126" t="s">
        <v>2213</v>
      </c>
      <c r="F174" s="126" t="s">
        <v>3878</v>
      </c>
      <c r="G174" s="129" t="s">
        <v>2667</v>
      </c>
      <c r="H174" s="126" t="s">
        <v>2987</v>
      </c>
      <c r="I174" s="132" t="s">
        <v>3139</v>
      </c>
      <c r="J174" s="135" t="s">
        <v>3228</v>
      </c>
    </row>
    <row r="175" spans="1:10" ht="63" x14ac:dyDescent="0.2">
      <c r="A175">
        <v>172</v>
      </c>
      <c r="B175" s="136" t="s">
        <v>3403</v>
      </c>
      <c r="C175" s="126" t="s">
        <v>1794</v>
      </c>
      <c r="D175" s="126" t="s">
        <v>2214</v>
      </c>
      <c r="F175" s="126" t="s">
        <v>3878</v>
      </c>
      <c r="G175" s="129" t="s">
        <v>2668</v>
      </c>
      <c r="H175" s="126" t="s">
        <v>2987</v>
      </c>
      <c r="I175" s="132" t="s">
        <v>3139</v>
      </c>
      <c r="J175" s="135" t="s">
        <v>3228</v>
      </c>
    </row>
    <row r="176" spans="1:10" ht="63" x14ac:dyDescent="0.2">
      <c r="A176">
        <v>173</v>
      </c>
      <c r="B176" s="136" t="s">
        <v>3404</v>
      </c>
      <c r="C176" s="126" t="s">
        <v>1795</v>
      </c>
      <c r="D176" s="126" t="s">
        <v>2215</v>
      </c>
      <c r="F176" s="126" t="s">
        <v>3878</v>
      </c>
      <c r="G176" s="129" t="s">
        <v>2669</v>
      </c>
      <c r="H176" s="126" t="s">
        <v>2987</v>
      </c>
      <c r="I176" s="132" t="s">
        <v>3081</v>
      </c>
      <c r="J176" s="135" t="s">
        <v>3228</v>
      </c>
    </row>
    <row r="177" spans="1:10" ht="63" x14ac:dyDescent="0.2">
      <c r="A177">
        <v>174</v>
      </c>
      <c r="B177" s="136" t="s">
        <v>3405</v>
      </c>
      <c r="C177" s="126" t="s">
        <v>1796</v>
      </c>
      <c r="D177" s="126" t="s">
        <v>2216</v>
      </c>
      <c r="F177" s="126" t="s">
        <v>3878</v>
      </c>
      <c r="G177" s="129" t="s">
        <v>2670</v>
      </c>
      <c r="H177" s="126" t="s">
        <v>2987</v>
      </c>
      <c r="I177" s="132" t="s">
        <v>3139</v>
      </c>
      <c r="J177" s="135" t="s">
        <v>3228</v>
      </c>
    </row>
    <row r="178" spans="1:10" ht="63" x14ac:dyDescent="0.2">
      <c r="A178">
        <v>175</v>
      </c>
      <c r="B178" s="136" t="s">
        <v>3406</v>
      </c>
      <c r="C178" s="126" t="s">
        <v>1797</v>
      </c>
      <c r="D178" s="126" t="s">
        <v>2217</v>
      </c>
      <c r="F178" s="126" t="s">
        <v>3878</v>
      </c>
      <c r="G178" s="129" t="s">
        <v>2671</v>
      </c>
      <c r="H178" s="126" t="s">
        <v>2987</v>
      </c>
      <c r="I178" s="132" t="s">
        <v>3136</v>
      </c>
      <c r="J178" s="135" t="s">
        <v>3228</v>
      </c>
    </row>
    <row r="179" spans="1:10" ht="63" x14ac:dyDescent="0.2">
      <c r="A179">
        <v>176</v>
      </c>
      <c r="B179" s="136" t="s">
        <v>3407</v>
      </c>
      <c r="C179" s="126" t="s">
        <v>1798</v>
      </c>
      <c r="D179" s="126" t="s">
        <v>2218</v>
      </c>
      <c r="F179" s="126" t="s">
        <v>3878</v>
      </c>
      <c r="G179" s="129" t="s">
        <v>2672</v>
      </c>
      <c r="H179" s="126" t="s">
        <v>2987</v>
      </c>
      <c r="I179" s="132" t="s">
        <v>3137</v>
      </c>
      <c r="J179" s="135" t="s">
        <v>3228</v>
      </c>
    </row>
    <row r="180" spans="1:10" ht="63" x14ac:dyDescent="0.2">
      <c r="A180">
        <v>177</v>
      </c>
      <c r="B180" s="136" t="s">
        <v>3408</v>
      </c>
      <c r="C180" s="126" t="s">
        <v>1799</v>
      </c>
      <c r="D180" s="126" t="s">
        <v>2219</v>
      </c>
      <c r="E180" s="126"/>
      <c r="F180" s="126" t="s">
        <v>2478</v>
      </c>
      <c r="G180" s="129" t="s">
        <v>2673</v>
      </c>
      <c r="H180" s="126" t="s">
        <v>2989</v>
      </c>
      <c r="I180" s="133">
        <v>980000</v>
      </c>
      <c r="J180" s="135" t="s">
        <v>3228</v>
      </c>
    </row>
    <row r="181" spans="1:10" ht="31.5" x14ac:dyDescent="0.2">
      <c r="A181">
        <v>178</v>
      </c>
      <c r="B181" s="136" t="s">
        <v>3409</v>
      </c>
      <c r="C181" s="126" t="s">
        <v>1800</v>
      </c>
      <c r="D181" s="126" t="s">
        <v>518</v>
      </c>
      <c r="F181" s="126" t="s">
        <v>2491</v>
      </c>
      <c r="G181" s="129" t="s">
        <v>2674</v>
      </c>
      <c r="H181" s="126" t="s">
        <v>28</v>
      </c>
      <c r="I181" s="133">
        <v>500000</v>
      </c>
      <c r="J181" s="135" t="s">
        <v>3228</v>
      </c>
    </row>
    <row r="182" spans="1:10" ht="141.75" x14ac:dyDescent="0.2">
      <c r="A182">
        <v>179</v>
      </c>
      <c r="B182" s="136" t="s">
        <v>3410</v>
      </c>
      <c r="C182" s="126" t="s">
        <v>1801</v>
      </c>
      <c r="D182" s="126" t="s">
        <v>2220</v>
      </c>
      <c r="E182" s="126"/>
      <c r="F182" s="126" t="s">
        <v>2479</v>
      </c>
      <c r="G182" s="129" t="s">
        <v>2675</v>
      </c>
      <c r="H182" s="126" t="s">
        <v>32</v>
      </c>
      <c r="I182" s="132" t="s">
        <v>3140</v>
      </c>
      <c r="J182" s="135" t="s">
        <v>3228</v>
      </c>
    </row>
    <row r="183" spans="1:10" ht="126" x14ac:dyDescent="0.2">
      <c r="A183">
        <v>180</v>
      </c>
      <c r="B183" s="136" t="s">
        <v>3411</v>
      </c>
      <c r="C183" s="126" t="s">
        <v>1802</v>
      </c>
      <c r="D183" s="126" t="s">
        <v>2221</v>
      </c>
      <c r="F183" s="126" t="s">
        <v>3875</v>
      </c>
      <c r="G183" s="129" t="s">
        <v>2676</v>
      </c>
      <c r="H183" s="126" t="s">
        <v>2987</v>
      </c>
      <c r="I183" s="133">
        <v>200000</v>
      </c>
      <c r="J183" s="135" t="s">
        <v>3228</v>
      </c>
    </row>
    <row r="184" spans="1:10" ht="31.5" x14ac:dyDescent="0.2">
      <c r="A184">
        <v>181</v>
      </c>
      <c r="B184" s="136" t="s">
        <v>3412</v>
      </c>
      <c r="C184" s="126" t="s">
        <v>1803</v>
      </c>
      <c r="D184" s="126" t="s">
        <v>518</v>
      </c>
      <c r="F184" s="126" t="s">
        <v>2471</v>
      </c>
      <c r="G184" s="129" t="s">
        <v>2677</v>
      </c>
      <c r="H184" s="126" t="s">
        <v>3009</v>
      </c>
      <c r="I184" s="132" t="s">
        <v>3135</v>
      </c>
      <c r="J184" s="135" t="s">
        <v>3228</v>
      </c>
    </row>
    <row r="185" spans="1:10" ht="47.25" x14ac:dyDescent="0.2">
      <c r="A185">
        <v>182</v>
      </c>
      <c r="B185" s="136" t="s">
        <v>3413</v>
      </c>
      <c r="C185" s="126" t="s">
        <v>1804</v>
      </c>
      <c r="D185" s="126" t="s">
        <v>518</v>
      </c>
      <c r="F185" s="126" t="s">
        <v>2471</v>
      </c>
      <c r="G185" s="129" t="s">
        <v>2678</v>
      </c>
      <c r="H185" s="126" t="s">
        <v>2998</v>
      </c>
      <c r="I185" s="133">
        <v>250000</v>
      </c>
      <c r="J185" s="135" t="s">
        <v>3228</v>
      </c>
    </row>
    <row r="186" spans="1:10" ht="47.25" x14ac:dyDescent="0.2">
      <c r="A186">
        <v>183</v>
      </c>
      <c r="B186" s="136" t="s">
        <v>3414</v>
      </c>
      <c r="C186" s="126" t="s">
        <v>1805</v>
      </c>
      <c r="D186" s="126" t="s">
        <v>518</v>
      </c>
      <c r="F186" s="126" t="s">
        <v>2491</v>
      </c>
      <c r="G186" s="129" t="s">
        <v>2679</v>
      </c>
      <c r="H186" s="126" t="s">
        <v>2998</v>
      </c>
      <c r="I186" s="133">
        <v>250000</v>
      </c>
      <c r="J186" s="135" t="s">
        <v>3228</v>
      </c>
    </row>
    <row r="187" spans="1:10" ht="47.25" x14ac:dyDescent="0.2">
      <c r="A187">
        <v>184</v>
      </c>
      <c r="B187" s="136" t="s">
        <v>3415</v>
      </c>
      <c r="C187" s="126" t="s">
        <v>1806</v>
      </c>
      <c r="D187" s="126" t="s">
        <v>518</v>
      </c>
      <c r="F187" s="126" t="s">
        <v>2471</v>
      </c>
      <c r="G187" s="129" t="s">
        <v>2680</v>
      </c>
      <c r="H187" s="126" t="s">
        <v>2998</v>
      </c>
      <c r="I187" s="133">
        <v>250000</v>
      </c>
      <c r="J187" s="135" t="s">
        <v>3228</v>
      </c>
    </row>
    <row r="188" spans="1:10" ht="63" x14ac:dyDescent="0.2">
      <c r="A188">
        <v>185</v>
      </c>
      <c r="B188" s="136" t="s">
        <v>3416</v>
      </c>
      <c r="C188" s="126" t="s">
        <v>1807</v>
      </c>
      <c r="D188" s="126" t="s">
        <v>2222</v>
      </c>
      <c r="E188" s="126"/>
      <c r="F188" s="126" t="s">
        <v>2480</v>
      </c>
      <c r="G188" s="129" t="s">
        <v>2681</v>
      </c>
      <c r="H188" s="126" t="s">
        <v>3010</v>
      </c>
      <c r="I188" s="132" t="s">
        <v>3091</v>
      </c>
      <c r="J188" s="135" t="s">
        <v>3228</v>
      </c>
    </row>
    <row r="189" spans="1:10" ht="63" x14ac:dyDescent="0.2">
      <c r="A189">
        <v>186</v>
      </c>
      <c r="B189" s="136" t="s">
        <v>3417</v>
      </c>
      <c r="C189" s="126" t="s">
        <v>1808</v>
      </c>
      <c r="D189" s="126" t="s">
        <v>2223</v>
      </c>
      <c r="E189" s="126"/>
      <c r="F189" s="126" t="s">
        <v>2480</v>
      </c>
      <c r="G189" s="129" t="s">
        <v>2682</v>
      </c>
      <c r="H189" s="126" t="s">
        <v>3010</v>
      </c>
      <c r="I189" s="132" t="s">
        <v>3141</v>
      </c>
      <c r="J189" s="135" t="s">
        <v>3228</v>
      </c>
    </row>
    <row r="190" spans="1:10" ht="47.25" x14ac:dyDescent="0.2">
      <c r="A190">
        <v>187</v>
      </c>
      <c r="B190" s="136" t="s">
        <v>3418</v>
      </c>
      <c r="C190" s="126" t="s">
        <v>1809</v>
      </c>
      <c r="D190" s="126" t="s">
        <v>2224</v>
      </c>
      <c r="F190" s="126" t="s">
        <v>2471</v>
      </c>
      <c r="G190" s="129" t="s">
        <v>2683</v>
      </c>
      <c r="H190" s="126" t="s">
        <v>2991</v>
      </c>
      <c r="I190" s="133">
        <v>150000</v>
      </c>
      <c r="J190" s="135" t="s">
        <v>3228</v>
      </c>
    </row>
    <row r="191" spans="1:10" ht="63" x14ac:dyDescent="0.2">
      <c r="A191">
        <v>188</v>
      </c>
      <c r="B191" s="136" t="s">
        <v>3419</v>
      </c>
      <c r="C191" s="126" t="s">
        <v>1810</v>
      </c>
      <c r="D191" s="126" t="s">
        <v>518</v>
      </c>
      <c r="F191" s="126" t="s">
        <v>2471</v>
      </c>
      <c r="G191" s="129" t="s">
        <v>2684</v>
      </c>
      <c r="H191" s="126" t="s">
        <v>3011</v>
      </c>
      <c r="I191" s="133">
        <v>150000</v>
      </c>
      <c r="J191" s="135" t="s">
        <v>3228</v>
      </c>
    </row>
    <row r="192" spans="1:10" ht="94.5" x14ac:dyDescent="0.2">
      <c r="A192">
        <v>189</v>
      </c>
      <c r="B192" s="136" t="s">
        <v>3420</v>
      </c>
      <c r="C192" s="126" t="s">
        <v>1811</v>
      </c>
      <c r="D192" s="126" t="s">
        <v>2225</v>
      </c>
      <c r="F192" s="126" t="s">
        <v>2476</v>
      </c>
      <c r="G192" s="129" t="s">
        <v>2685</v>
      </c>
      <c r="H192" s="126" t="s">
        <v>32</v>
      </c>
      <c r="I192" s="132" t="s">
        <v>3142</v>
      </c>
      <c r="J192" s="135" t="s">
        <v>3228</v>
      </c>
    </row>
    <row r="193" spans="1:10" ht="94.5" x14ac:dyDescent="0.2">
      <c r="A193">
        <v>190</v>
      </c>
      <c r="B193" s="136" t="s">
        <v>3421</v>
      </c>
      <c r="C193" s="126" t="s">
        <v>1812</v>
      </c>
      <c r="D193" s="126" t="s">
        <v>2226</v>
      </c>
      <c r="F193" s="126" t="s">
        <v>2476</v>
      </c>
      <c r="G193" s="129" t="s">
        <v>2686</v>
      </c>
      <c r="H193" s="126" t="s">
        <v>32</v>
      </c>
      <c r="I193" s="132" t="s">
        <v>3097</v>
      </c>
      <c r="J193" s="135" t="s">
        <v>3228</v>
      </c>
    </row>
    <row r="194" spans="1:10" ht="110.25" x14ac:dyDescent="0.2">
      <c r="A194">
        <v>191</v>
      </c>
      <c r="B194" s="136" t="s">
        <v>3422</v>
      </c>
      <c r="C194" s="126" t="s">
        <v>1813</v>
      </c>
      <c r="D194" s="126" t="s">
        <v>2227</v>
      </c>
      <c r="F194" s="126" t="s">
        <v>2476</v>
      </c>
      <c r="G194" s="129" t="s">
        <v>2687</v>
      </c>
      <c r="H194" s="126" t="s">
        <v>32</v>
      </c>
      <c r="I194" s="132" t="s">
        <v>3143</v>
      </c>
      <c r="J194" s="135" t="s">
        <v>3228</v>
      </c>
    </row>
    <row r="195" spans="1:10" ht="15.75" x14ac:dyDescent="0.2">
      <c r="A195">
        <v>192</v>
      </c>
      <c r="B195" s="136" t="s">
        <v>3423</v>
      </c>
      <c r="C195" s="126" t="s">
        <v>1814</v>
      </c>
      <c r="D195" s="126" t="s">
        <v>518</v>
      </c>
      <c r="F195" s="126" t="s">
        <v>2476</v>
      </c>
      <c r="G195" s="129" t="s">
        <v>2688</v>
      </c>
      <c r="H195" s="126" t="s">
        <v>3001</v>
      </c>
      <c r="I195" s="132" t="s">
        <v>3144</v>
      </c>
      <c r="J195" s="135" t="s">
        <v>3228</v>
      </c>
    </row>
    <row r="196" spans="1:10" ht="94.5" x14ac:dyDescent="0.2">
      <c r="A196">
        <v>193</v>
      </c>
      <c r="B196" s="136" t="s">
        <v>3424</v>
      </c>
      <c r="C196" s="126" t="s">
        <v>1815</v>
      </c>
      <c r="D196" s="126" t="s">
        <v>2228</v>
      </c>
      <c r="F196" s="126" t="s">
        <v>3848</v>
      </c>
      <c r="G196" s="129" t="s">
        <v>2689</v>
      </c>
      <c r="H196" s="126" t="s">
        <v>3001</v>
      </c>
      <c r="I196" s="133">
        <v>100000</v>
      </c>
      <c r="J196" s="135" t="s">
        <v>3228</v>
      </c>
    </row>
    <row r="197" spans="1:10" ht="94.5" x14ac:dyDescent="0.2">
      <c r="A197">
        <v>194</v>
      </c>
      <c r="B197" s="136" t="s">
        <v>3425</v>
      </c>
      <c r="C197" s="126" t="s">
        <v>1816</v>
      </c>
      <c r="D197" s="126" t="s">
        <v>518</v>
      </c>
      <c r="F197" s="126" t="s">
        <v>2476</v>
      </c>
      <c r="G197" s="129" t="s">
        <v>2690</v>
      </c>
      <c r="H197" s="126" t="s">
        <v>3008</v>
      </c>
      <c r="I197" s="132" t="s">
        <v>3145</v>
      </c>
      <c r="J197" s="135" t="s">
        <v>3228</v>
      </c>
    </row>
    <row r="198" spans="1:10" ht="31.5" x14ac:dyDescent="0.2">
      <c r="A198">
        <v>195</v>
      </c>
      <c r="B198" s="136" t="s">
        <v>3426</v>
      </c>
      <c r="C198" s="126" t="s">
        <v>1817</v>
      </c>
      <c r="D198" s="126" t="s">
        <v>518</v>
      </c>
      <c r="F198" s="126" t="s">
        <v>3906</v>
      </c>
      <c r="G198" s="129" t="s">
        <v>2691</v>
      </c>
      <c r="H198" s="126" t="s">
        <v>28</v>
      </c>
      <c r="I198" s="133">
        <v>2300000</v>
      </c>
      <c r="J198" s="135" t="s">
        <v>3228</v>
      </c>
    </row>
    <row r="199" spans="1:10" ht="31.5" x14ac:dyDescent="0.2">
      <c r="A199">
        <v>196</v>
      </c>
      <c r="B199" s="136" t="s">
        <v>3427</v>
      </c>
      <c r="C199" s="126" t="s">
        <v>1818</v>
      </c>
      <c r="D199" s="126" t="s">
        <v>518</v>
      </c>
      <c r="F199" s="126" t="s">
        <v>3906</v>
      </c>
      <c r="G199" s="129" t="s">
        <v>2692</v>
      </c>
      <c r="H199" s="126" t="s">
        <v>28</v>
      </c>
      <c r="I199" s="133">
        <v>2300000</v>
      </c>
      <c r="J199" s="135" t="s">
        <v>3228</v>
      </c>
    </row>
    <row r="200" spans="1:10" ht="94.5" x14ac:dyDescent="0.2">
      <c r="A200">
        <v>197</v>
      </c>
      <c r="B200" s="136" t="s">
        <v>3428</v>
      </c>
      <c r="C200" s="126" t="s">
        <v>1819</v>
      </c>
      <c r="D200" s="126" t="s">
        <v>518</v>
      </c>
      <c r="F200" s="126" t="s">
        <v>2471</v>
      </c>
      <c r="G200" s="130" t="s">
        <v>2693</v>
      </c>
      <c r="H200" s="126" t="s">
        <v>2989</v>
      </c>
      <c r="I200" s="132" t="s">
        <v>3146</v>
      </c>
      <c r="J200" s="135" t="s">
        <v>3228</v>
      </c>
    </row>
    <row r="201" spans="1:10" ht="47.25" x14ac:dyDescent="0.2">
      <c r="A201">
        <v>198</v>
      </c>
      <c r="B201" s="136" t="s">
        <v>3429</v>
      </c>
      <c r="C201" s="126" t="s">
        <v>1820</v>
      </c>
      <c r="D201" s="126" t="s">
        <v>2229</v>
      </c>
      <c r="F201" s="126" t="s">
        <v>2471</v>
      </c>
      <c r="G201" s="129" t="s">
        <v>2694</v>
      </c>
      <c r="H201" s="126" t="s">
        <v>2989</v>
      </c>
      <c r="I201" s="132" t="s">
        <v>3147</v>
      </c>
      <c r="J201" s="135" t="s">
        <v>3228</v>
      </c>
    </row>
    <row r="202" spans="1:10" ht="47.25" x14ac:dyDescent="0.2">
      <c r="A202">
        <v>199</v>
      </c>
      <c r="B202" s="136" t="s">
        <v>3430</v>
      </c>
      <c r="C202" s="126" t="s">
        <v>1821</v>
      </c>
      <c r="D202" s="126" t="s">
        <v>518</v>
      </c>
      <c r="F202" s="126" t="s">
        <v>2471</v>
      </c>
      <c r="G202" s="129" t="s">
        <v>2695</v>
      </c>
      <c r="H202" s="126" t="s">
        <v>2991</v>
      </c>
      <c r="I202" s="133">
        <v>250000</v>
      </c>
      <c r="J202" s="135" t="s">
        <v>3228</v>
      </c>
    </row>
    <row r="203" spans="1:10" ht="47.25" x14ac:dyDescent="0.2">
      <c r="A203">
        <v>200</v>
      </c>
      <c r="B203" s="136" t="s">
        <v>3431</v>
      </c>
      <c r="C203" s="126" t="s">
        <v>1822</v>
      </c>
      <c r="D203" s="126" t="s">
        <v>2230</v>
      </c>
      <c r="F203" s="126" t="s">
        <v>3881</v>
      </c>
      <c r="G203" s="129" t="s">
        <v>2696</v>
      </c>
      <c r="H203" s="126" t="s">
        <v>2987</v>
      </c>
      <c r="I203" s="132" t="s">
        <v>3148</v>
      </c>
      <c r="J203" s="135" t="s">
        <v>3228</v>
      </c>
    </row>
    <row r="204" spans="1:10" ht="15.75" x14ac:dyDescent="0.2">
      <c r="A204">
        <v>201</v>
      </c>
      <c r="B204" s="136" t="s">
        <v>3432</v>
      </c>
      <c r="C204" s="126" t="s">
        <v>1823</v>
      </c>
      <c r="D204" s="126" t="s">
        <v>518</v>
      </c>
      <c r="F204" s="126" t="s">
        <v>2471</v>
      </c>
      <c r="G204" s="129" t="s">
        <v>2697</v>
      </c>
      <c r="H204" s="126" t="s">
        <v>3000</v>
      </c>
      <c r="I204" s="133">
        <v>40000</v>
      </c>
      <c r="J204" s="135" t="s">
        <v>3228</v>
      </c>
    </row>
    <row r="205" spans="1:10" ht="31.5" x14ac:dyDescent="0.2">
      <c r="A205">
        <v>202</v>
      </c>
      <c r="B205" s="136" t="s">
        <v>3433</v>
      </c>
      <c r="C205" s="126" t="s">
        <v>1824</v>
      </c>
      <c r="D205" s="126" t="s">
        <v>518</v>
      </c>
      <c r="F205" s="126" t="s">
        <v>2471</v>
      </c>
      <c r="G205" s="129" t="s">
        <v>2698</v>
      </c>
      <c r="H205" s="126" t="s">
        <v>3012</v>
      </c>
      <c r="I205" s="133">
        <v>200000</v>
      </c>
      <c r="J205" s="135" t="s">
        <v>3228</v>
      </c>
    </row>
    <row r="206" spans="1:10" ht="63" x14ac:dyDescent="0.2">
      <c r="A206">
        <v>203</v>
      </c>
      <c r="B206" s="136" t="s">
        <v>3434</v>
      </c>
      <c r="C206" s="126" t="s">
        <v>1825</v>
      </c>
      <c r="D206" s="126" t="s">
        <v>2231</v>
      </c>
      <c r="F206" s="126" t="s">
        <v>3750</v>
      </c>
      <c r="G206" s="129" t="s">
        <v>2699</v>
      </c>
      <c r="H206" s="126" t="s">
        <v>2989</v>
      </c>
      <c r="I206" s="133">
        <v>470000</v>
      </c>
      <c r="J206" s="135" t="s">
        <v>3228</v>
      </c>
    </row>
    <row r="207" spans="1:10" ht="63" x14ac:dyDescent="0.2">
      <c r="A207">
        <v>204</v>
      </c>
      <c r="B207" s="136" t="s">
        <v>3435</v>
      </c>
      <c r="C207" s="126" t="s">
        <v>1826</v>
      </c>
      <c r="D207" s="126" t="s">
        <v>2232</v>
      </c>
      <c r="F207" s="126" t="s">
        <v>2491</v>
      </c>
      <c r="G207" s="129" t="s">
        <v>2700</v>
      </c>
      <c r="H207" s="126" t="s">
        <v>2989</v>
      </c>
      <c r="I207" s="133">
        <v>470000</v>
      </c>
      <c r="J207" s="135" t="s">
        <v>3228</v>
      </c>
    </row>
    <row r="208" spans="1:10" ht="63" x14ac:dyDescent="0.2">
      <c r="A208">
        <v>205</v>
      </c>
      <c r="B208" s="136" t="s">
        <v>3436</v>
      </c>
      <c r="C208" s="126" t="s">
        <v>1827</v>
      </c>
      <c r="D208" s="126" t="s">
        <v>518</v>
      </c>
      <c r="F208" s="126" t="s">
        <v>3895</v>
      </c>
      <c r="G208" s="129" t="s">
        <v>2701</v>
      </c>
      <c r="H208" s="126" t="s">
        <v>2990</v>
      </c>
      <c r="I208" s="132" t="s">
        <v>3149</v>
      </c>
      <c r="J208" s="135" t="s">
        <v>3228</v>
      </c>
    </row>
    <row r="209" spans="1:10" ht="63" x14ac:dyDescent="0.2">
      <c r="A209">
        <v>206</v>
      </c>
      <c r="B209" s="136" t="s">
        <v>3437</v>
      </c>
      <c r="C209" s="126" t="s">
        <v>1828</v>
      </c>
      <c r="D209" s="126" t="s">
        <v>2233</v>
      </c>
      <c r="F209" s="126" t="s">
        <v>3879</v>
      </c>
      <c r="G209" s="129" t="s">
        <v>2702</v>
      </c>
      <c r="H209" s="126" t="s">
        <v>2995</v>
      </c>
      <c r="I209" s="132" t="s">
        <v>3150</v>
      </c>
      <c r="J209" s="135" t="s">
        <v>3228</v>
      </c>
    </row>
    <row r="210" spans="1:10" ht="63" x14ac:dyDescent="0.2">
      <c r="A210">
        <v>207</v>
      </c>
      <c r="B210" s="136" t="s">
        <v>3438</v>
      </c>
      <c r="C210" s="126" t="s">
        <v>1829</v>
      </c>
      <c r="D210" s="126" t="s">
        <v>2234</v>
      </c>
      <c r="F210" s="126" t="s">
        <v>2471</v>
      </c>
      <c r="G210" s="129" t="s">
        <v>2703</v>
      </c>
      <c r="H210" s="126" t="s">
        <v>2989</v>
      </c>
      <c r="I210" s="132" t="s">
        <v>3151</v>
      </c>
      <c r="J210" s="135" t="s">
        <v>3229</v>
      </c>
    </row>
    <row r="211" spans="1:10" ht="47.25" x14ac:dyDescent="0.2">
      <c r="A211">
        <v>208</v>
      </c>
      <c r="B211" s="136" t="s">
        <v>3439</v>
      </c>
      <c r="C211" s="126" t="s">
        <v>1830</v>
      </c>
      <c r="D211" s="126" t="s">
        <v>2235</v>
      </c>
      <c r="F211" s="126" t="s">
        <v>2471</v>
      </c>
      <c r="G211" s="129" t="s">
        <v>2704</v>
      </c>
      <c r="H211" s="126" t="s">
        <v>2991</v>
      </c>
      <c r="I211" s="133">
        <v>250000</v>
      </c>
      <c r="J211" s="135" t="s">
        <v>3229</v>
      </c>
    </row>
    <row r="212" spans="1:10" ht="31.5" x14ac:dyDescent="0.2">
      <c r="A212">
        <v>209</v>
      </c>
      <c r="B212" s="136" t="s">
        <v>3440</v>
      </c>
      <c r="C212" s="126" t="s">
        <v>1831</v>
      </c>
      <c r="D212" s="126" t="s">
        <v>2236</v>
      </c>
      <c r="F212" s="126" t="s">
        <v>2471</v>
      </c>
      <c r="G212" s="129" t="s">
        <v>2705</v>
      </c>
      <c r="H212" s="126" t="s">
        <v>2989</v>
      </c>
      <c r="I212" s="132" t="s">
        <v>3152</v>
      </c>
      <c r="J212" s="135" t="s">
        <v>3229</v>
      </c>
    </row>
    <row r="213" spans="1:10" ht="15.75" x14ac:dyDescent="0.2">
      <c r="A213">
        <v>210</v>
      </c>
      <c r="B213" s="136" t="s">
        <v>3441</v>
      </c>
      <c r="C213" s="126" t="s">
        <v>1832</v>
      </c>
      <c r="D213" s="126" t="s">
        <v>518</v>
      </c>
      <c r="F213" s="126" t="s">
        <v>2471</v>
      </c>
      <c r="G213" s="129" t="s">
        <v>2706</v>
      </c>
      <c r="H213" s="126" t="s">
        <v>2991</v>
      </c>
      <c r="I213" s="133">
        <v>20000</v>
      </c>
      <c r="J213" s="135" t="s">
        <v>3229</v>
      </c>
    </row>
    <row r="214" spans="1:10" ht="15.75" x14ac:dyDescent="0.2">
      <c r="A214">
        <v>211</v>
      </c>
      <c r="B214" s="136" t="s">
        <v>3442</v>
      </c>
      <c r="C214" s="126" t="s">
        <v>1833</v>
      </c>
      <c r="D214" s="126" t="s">
        <v>518</v>
      </c>
      <c r="F214" s="126" t="s">
        <v>2471</v>
      </c>
      <c r="G214" s="129" t="s">
        <v>2707</v>
      </c>
      <c r="H214" s="126" t="s">
        <v>2991</v>
      </c>
      <c r="I214" s="133">
        <v>2000</v>
      </c>
      <c r="J214" s="135" t="s">
        <v>3229</v>
      </c>
    </row>
    <row r="215" spans="1:10" ht="31.5" x14ac:dyDescent="0.2">
      <c r="A215">
        <v>212</v>
      </c>
      <c r="B215" s="136" t="s">
        <v>3443</v>
      </c>
      <c r="C215" s="126" t="s">
        <v>1834</v>
      </c>
      <c r="D215" s="126" t="s">
        <v>518</v>
      </c>
      <c r="F215" s="126" t="s">
        <v>3857</v>
      </c>
      <c r="G215" s="129" t="s">
        <v>2708</v>
      </c>
      <c r="H215" s="126" t="s">
        <v>2989</v>
      </c>
      <c r="I215" s="132" t="s">
        <v>3153</v>
      </c>
      <c r="J215" s="135" t="s">
        <v>3229</v>
      </c>
    </row>
    <row r="216" spans="1:10" ht="31.5" x14ac:dyDescent="0.2">
      <c r="A216">
        <v>213</v>
      </c>
      <c r="B216" s="136" t="s">
        <v>3444</v>
      </c>
      <c r="C216" s="126" t="s">
        <v>1835</v>
      </c>
      <c r="D216" s="126" t="s">
        <v>518</v>
      </c>
      <c r="F216" s="126" t="s">
        <v>3857</v>
      </c>
      <c r="G216" s="129" t="s">
        <v>2708</v>
      </c>
      <c r="H216" s="126" t="s">
        <v>2989</v>
      </c>
      <c r="I216" s="132" t="s">
        <v>3107</v>
      </c>
      <c r="J216" s="135" t="s">
        <v>3229</v>
      </c>
    </row>
    <row r="217" spans="1:10" ht="78.75" x14ac:dyDescent="0.2">
      <c r="A217">
        <v>214</v>
      </c>
      <c r="B217" s="136" t="s">
        <v>3445</v>
      </c>
      <c r="C217" s="126" t="s">
        <v>1836</v>
      </c>
      <c r="D217" s="126" t="s">
        <v>2237</v>
      </c>
      <c r="F217" s="126" t="s">
        <v>3858</v>
      </c>
      <c r="G217" s="129" t="s">
        <v>2709</v>
      </c>
      <c r="H217" s="126" t="s">
        <v>2989</v>
      </c>
      <c r="I217" s="132" t="s">
        <v>3097</v>
      </c>
      <c r="J217" s="135" t="s">
        <v>3229</v>
      </c>
    </row>
    <row r="218" spans="1:10" ht="47.25" x14ac:dyDescent="0.2">
      <c r="A218">
        <v>215</v>
      </c>
      <c r="B218" s="136" t="s">
        <v>3446</v>
      </c>
      <c r="C218" s="126" t="s">
        <v>1837</v>
      </c>
      <c r="D218" s="126" t="s">
        <v>518</v>
      </c>
      <c r="F218" s="126" t="s">
        <v>2482</v>
      </c>
      <c r="G218" s="129" t="s">
        <v>2710</v>
      </c>
      <c r="H218" s="126" t="s">
        <v>2989</v>
      </c>
      <c r="I218" s="132" t="s">
        <v>3104</v>
      </c>
      <c r="J218" s="135" t="s">
        <v>3229</v>
      </c>
    </row>
    <row r="219" spans="1:10" ht="31.5" x14ac:dyDescent="0.2">
      <c r="A219">
        <v>216</v>
      </c>
      <c r="B219" s="136" t="s">
        <v>3447</v>
      </c>
      <c r="C219" s="126" t="s">
        <v>1838</v>
      </c>
      <c r="D219" s="126" t="s">
        <v>2238</v>
      </c>
      <c r="F219" s="126" t="s">
        <v>3843</v>
      </c>
      <c r="G219" s="129" t="s">
        <v>2711</v>
      </c>
      <c r="H219" s="126" t="s">
        <v>2989</v>
      </c>
      <c r="I219" s="132" t="s">
        <v>3140</v>
      </c>
      <c r="J219" s="135" t="s">
        <v>3229</v>
      </c>
    </row>
    <row r="220" spans="1:10" ht="31.5" x14ac:dyDescent="0.2">
      <c r="A220">
        <v>217</v>
      </c>
      <c r="B220" s="136" t="s">
        <v>3448</v>
      </c>
      <c r="C220" s="126" t="s">
        <v>1839</v>
      </c>
      <c r="D220" s="126" t="s">
        <v>518</v>
      </c>
      <c r="F220" s="126" t="s">
        <v>2482</v>
      </c>
      <c r="G220" s="129" t="s">
        <v>2712</v>
      </c>
      <c r="H220" s="126" t="s">
        <v>2989</v>
      </c>
      <c r="I220" s="132" t="s">
        <v>3103</v>
      </c>
      <c r="J220" s="135" t="s">
        <v>3229</v>
      </c>
    </row>
    <row r="221" spans="1:10" ht="31.5" x14ac:dyDescent="0.2">
      <c r="A221">
        <v>218</v>
      </c>
      <c r="B221" s="136" t="s">
        <v>3449</v>
      </c>
      <c r="C221" s="126" t="s">
        <v>1840</v>
      </c>
      <c r="D221" s="126" t="s">
        <v>518</v>
      </c>
      <c r="F221" s="126" t="s">
        <v>3857</v>
      </c>
      <c r="G221" s="129" t="s">
        <v>2708</v>
      </c>
      <c r="H221" s="126" t="s">
        <v>2989</v>
      </c>
      <c r="I221" s="132" t="s">
        <v>3154</v>
      </c>
      <c r="J221" s="135" t="s">
        <v>3229</v>
      </c>
    </row>
    <row r="222" spans="1:10" ht="31.5" x14ac:dyDescent="0.2">
      <c r="A222">
        <v>219</v>
      </c>
      <c r="B222" s="136" t="s">
        <v>3450</v>
      </c>
      <c r="C222" s="126" t="s">
        <v>1841</v>
      </c>
      <c r="D222" s="126" t="s">
        <v>2239</v>
      </c>
      <c r="E222" s="126"/>
      <c r="F222" s="126" t="s">
        <v>2481</v>
      </c>
      <c r="G222" s="129" t="s">
        <v>2713</v>
      </c>
      <c r="H222" s="126" t="s">
        <v>2991</v>
      </c>
      <c r="I222" s="132" t="s">
        <v>3155</v>
      </c>
      <c r="J222" s="135" t="s">
        <v>3229</v>
      </c>
    </row>
    <row r="223" spans="1:10" ht="47.25" x14ac:dyDescent="0.2">
      <c r="A223">
        <v>220</v>
      </c>
      <c r="B223" s="136" t="s">
        <v>3451</v>
      </c>
      <c r="C223" s="126" t="s">
        <v>1842</v>
      </c>
      <c r="D223" s="126" t="s">
        <v>2238</v>
      </c>
      <c r="F223" s="126" t="s">
        <v>3859</v>
      </c>
      <c r="G223" s="129" t="s">
        <v>2714</v>
      </c>
      <c r="H223" s="126" t="s">
        <v>2989</v>
      </c>
      <c r="I223" s="132" t="s">
        <v>3156</v>
      </c>
      <c r="J223" s="135" t="s">
        <v>3229</v>
      </c>
    </row>
    <row r="224" spans="1:10" ht="110.25" x14ac:dyDescent="0.2">
      <c r="A224">
        <v>221</v>
      </c>
      <c r="B224" s="136" t="s">
        <v>3452</v>
      </c>
      <c r="C224" s="126" t="s">
        <v>1843</v>
      </c>
      <c r="D224" s="126" t="s">
        <v>518</v>
      </c>
      <c r="F224" s="126" t="s">
        <v>3858</v>
      </c>
      <c r="G224" s="129" t="s">
        <v>2715</v>
      </c>
      <c r="H224" s="126" t="s">
        <v>2989</v>
      </c>
      <c r="I224" s="132" t="s">
        <v>3157</v>
      </c>
      <c r="J224" s="135" t="s">
        <v>3229</v>
      </c>
    </row>
    <row r="225" spans="1:10" ht="63" x14ac:dyDescent="0.2">
      <c r="A225">
        <v>222</v>
      </c>
      <c r="B225" s="136" t="s">
        <v>3453</v>
      </c>
      <c r="C225" s="126" t="s">
        <v>1844</v>
      </c>
      <c r="D225" s="126" t="s">
        <v>518</v>
      </c>
      <c r="F225" s="126" t="s">
        <v>2471</v>
      </c>
      <c r="G225" s="129" t="s">
        <v>2716</v>
      </c>
      <c r="H225" s="126" t="s">
        <v>3013</v>
      </c>
      <c r="I225" s="132" t="s">
        <v>3158</v>
      </c>
      <c r="J225" s="135" t="s">
        <v>3229</v>
      </c>
    </row>
    <row r="226" spans="1:10" ht="63" x14ac:dyDescent="0.2">
      <c r="A226">
        <v>223</v>
      </c>
      <c r="B226" s="136" t="s">
        <v>3454</v>
      </c>
      <c r="C226" s="126" t="s">
        <v>1845</v>
      </c>
      <c r="D226" s="126" t="s">
        <v>518</v>
      </c>
      <c r="F226" s="126" t="s">
        <v>3897</v>
      </c>
      <c r="G226" s="129" t="s">
        <v>2717</v>
      </c>
      <c r="H226" s="126" t="s">
        <v>2989</v>
      </c>
      <c r="I226" s="133">
        <v>900000</v>
      </c>
      <c r="J226" s="135" t="s">
        <v>3229</v>
      </c>
    </row>
    <row r="227" spans="1:10" ht="63" x14ac:dyDescent="0.2">
      <c r="A227">
        <v>224</v>
      </c>
      <c r="B227" s="136" t="s">
        <v>3455</v>
      </c>
      <c r="C227" s="126" t="s">
        <v>1846</v>
      </c>
      <c r="D227" s="126" t="s">
        <v>518</v>
      </c>
      <c r="F227" s="126" t="s">
        <v>3897</v>
      </c>
      <c r="G227" s="129" t="s">
        <v>2718</v>
      </c>
      <c r="H227" s="126" t="s">
        <v>2989</v>
      </c>
      <c r="I227" s="133">
        <v>1500000</v>
      </c>
      <c r="J227" s="135" t="s">
        <v>3229</v>
      </c>
    </row>
    <row r="228" spans="1:10" ht="15.75" x14ac:dyDescent="0.2">
      <c r="A228">
        <v>225</v>
      </c>
      <c r="B228" s="136" t="s">
        <v>3456</v>
      </c>
      <c r="C228" s="126" t="s">
        <v>1847</v>
      </c>
      <c r="D228" s="126" t="s">
        <v>518</v>
      </c>
      <c r="F228" s="126" t="s">
        <v>3843</v>
      </c>
      <c r="G228" s="129" t="s">
        <v>2719</v>
      </c>
      <c r="H228" s="126" t="s">
        <v>2989</v>
      </c>
      <c r="I228" s="132" t="s">
        <v>3159</v>
      </c>
      <c r="J228" s="135" t="s">
        <v>3229</v>
      </c>
    </row>
    <row r="229" spans="1:10" ht="47.25" x14ac:dyDescent="0.2">
      <c r="A229">
        <v>226</v>
      </c>
      <c r="B229" s="136" t="s">
        <v>3457</v>
      </c>
      <c r="C229" s="126" t="s">
        <v>1848</v>
      </c>
      <c r="D229" s="126" t="s">
        <v>518</v>
      </c>
      <c r="F229" s="126" t="s">
        <v>3898</v>
      </c>
      <c r="G229" s="129" t="s">
        <v>2720</v>
      </c>
      <c r="H229" s="126" t="s">
        <v>2991</v>
      </c>
      <c r="I229" s="132" t="s">
        <v>3160</v>
      </c>
      <c r="J229" s="135" t="s">
        <v>3229</v>
      </c>
    </row>
    <row r="230" spans="1:10" ht="110.25" x14ac:dyDescent="0.2">
      <c r="A230">
        <v>227</v>
      </c>
      <c r="B230" s="136" t="s">
        <v>3458</v>
      </c>
      <c r="C230" s="126" t="s">
        <v>1849</v>
      </c>
      <c r="D230" s="126" t="s">
        <v>2240</v>
      </c>
      <c r="F230" s="126" t="s">
        <v>3750</v>
      </c>
      <c r="G230" s="129" t="s">
        <v>2721</v>
      </c>
      <c r="H230" s="126" t="s">
        <v>447</v>
      </c>
      <c r="I230" s="132" t="s">
        <v>3161</v>
      </c>
      <c r="J230" s="135" t="s">
        <v>3229</v>
      </c>
    </row>
    <row r="231" spans="1:10" ht="31.5" x14ac:dyDescent="0.2">
      <c r="A231">
        <v>228</v>
      </c>
      <c r="B231" s="136" t="s">
        <v>3459</v>
      </c>
      <c r="C231" s="126" t="s">
        <v>1850</v>
      </c>
      <c r="D231" s="126" t="s">
        <v>518</v>
      </c>
      <c r="F231" s="126" t="s">
        <v>3857</v>
      </c>
      <c r="G231" s="129" t="s">
        <v>2708</v>
      </c>
      <c r="H231" s="126" t="s">
        <v>2989</v>
      </c>
      <c r="I231" s="132" t="s">
        <v>3162</v>
      </c>
      <c r="J231" s="135" t="s">
        <v>3229</v>
      </c>
    </row>
    <row r="232" spans="1:10" ht="47.25" x14ac:dyDescent="0.2">
      <c r="A232">
        <v>229</v>
      </c>
      <c r="B232" s="136" t="s">
        <v>3460</v>
      </c>
      <c r="C232" s="126" t="s">
        <v>1851</v>
      </c>
      <c r="D232" s="126" t="s">
        <v>518</v>
      </c>
      <c r="F232" s="126" t="s">
        <v>2471</v>
      </c>
      <c r="G232" s="129" t="s">
        <v>2722</v>
      </c>
      <c r="H232" s="126" t="s">
        <v>2991</v>
      </c>
      <c r="I232" s="132" t="s">
        <v>3163</v>
      </c>
      <c r="J232" s="135" t="s">
        <v>3229</v>
      </c>
    </row>
    <row r="233" spans="1:10" ht="47.25" x14ac:dyDescent="0.2">
      <c r="A233">
        <v>230</v>
      </c>
      <c r="B233" s="136" t="s">
        <v>3461</v>
      </c>
      <c r="C233" s="127" t="s">
        <v>1852</v>
      </c>
      <c r="D233" s="127" t="s">
        <v>2241</v>
      </c>
      <c r="F233" s="127" t="s">
        <v>2471</v>
      </c>
      <c r="G233" s="131" t="s">
        <v>2723</v>
      </c>
      <c r="H233" s="127" t="s">
        <v>2991</v>
      </c>
      <c r="I233" s="134" t="s">
        <v>3164</v>
      </c>
      <c r="J233" s="135" t="s">
        <v>3229</v>
      </c>
    </row>
    <row r="234" spans="1:10" ht="47.25" x14ac:dyDescent="0.2">
      <c r="A234">
        <v>231</v>
      </c>
      <c r="B234" s="136" t="s">
        <v>3462</v>
      </c>
      <c r="C234" s="126" t="s">
        <v>1853</v>
      </c>
      <c r="D234" s="126" t="s">
        <v>2242</v>
      </c>
      <c r="F234" s="126" t="s">
        <v>3843</v>
      </c>
      <c r="G234" s="129" t="s">
        <v>2724</v>
      </c>
      <c r="H234" s="126" t="s">
        <v>2989</v>
      </c>
      <c r="I234" s="133">
        <v>200000</v>
      </c>
      <c r="J234" s="135" t="s">
        <v>3229</v>
      </c>
    </row>
    <row r="235" spans="1:10" ht="47.25" x14ac:dyDescent="0.2">
      <c r="A235">
        <v>232</v>
      </c>
      <c r="B235" s="136" t="s">
        <v>3463</v>
      </c>
      <c r="C235" s="126" t="s">
        <v>1854</v>
      </c>
      <c r="D235" s="126" t="s">
        <v>518</v>
      </c>
      <c r="F235" s="126" t="s">
        <v>2471</v>
      </c>
      <c r="G235" s="129" t="s">
        <v>2725</v>
      </c>
      <c r="H235" s="126" t="s">
        <v>2991</v>
      </c>
      <c r="I235" s="133">
        <v>150000</v>
      </c>
      <c r="J235" s="135" t="s">
        <v>3229</v>
      </c>
    </row>
    <row r="236" spans="1:10" ht="47.25" x14ac:dyDescent="0.2">
      <c r="A236">
        <v>233</v>
      </c>
      <c r="B236" s="136" t="s">
        <v>3464</v>
      </c>
      <c r="C236" s="126" t="s">
        <v>1855</v>
      </c>
      <c r="D236" s="126" t="s">
        <v>518</v>
      </c>
      <c r="F236" s="126" t="s">
        <v>2471</v>
      </c>
      <c r="G236" s="129" t="s">
        <v>2726</v>
      </c>
      <c r="H236" s="126" t="s">
        <v>2991</v>
      </c>
      <c r="I236" s="133">
        <v>200000</v>
      </c>
      <c r="J236" s="135" t="s">
        <v>3229</v>
      </c>
    </row>
    <row r="237" spans="1:10" ht="47.25" x14ac:dyDescent="0.2">
      <c r="A237">
        <v>234</v>
      </c>
      <c r="B237" s="136" t="s">
        <v>3465</v>
      </c>
      <c r="C237" s="126" t="s">
        <v>1856</v>
      </c>
      <c r="D237" s="126" t="s">
        <v>518</v>
      </c>
      <c r="F237" s="126" t="s">
        <v>2471</v>
      </c>
      <c r="G237" s="129" t="s">
        <v>2727</v>
      </c>
      <c r="H237" s="126" t="s">
        <v>2991</v>
      </c>
      <c r="I237" s="133">
        <v>100000</v>
      </c>
      <c r="J237" s="135" t="s">
        <v>3229</v>
      </c>
    </row>
    <row r="238" spans="1:10" ht="47.25" x14ac:dyDescent="0.2">
      <c r="A238">
        <v>235</v>
      </c>
      <c r="B238" s="136" t="s">
        <v>3466</v>
      </c>
      <c r="C238" s="126" t="s">
        <v>1857</v>
      </c>
      <c r="D238" s="126" t="s">
        <v>2242</v>
      </c>
      <c r="F238" s="126" t="s">
        <v>3859</v>
      </c>
      <c r="G238" s="129" t="s">
        <v>2728</v>
      </c>
      <c r="H238" s="126" t="s">
        <v>2989</v>
      </c>
      <c r="I238" s="132" t="s">
        <v>3165</v>
      </c>
      <c r="J238" s="135" t="s">
        <v>3229</v>
      </c>
    </row>
    <row r="239" spans="1:10" ht="31.5" x14ac:dyDescent="0.2">
      <c r="A239">
        <v>236</v>
      </c>
      <c r="B239" s="136" t="s">
        <v>3467</v>
      </c>
      <c r="C239" s="126" t="s">
        <v>1858</v>
      </c>
      <c r="D239" s="126" t="s">
        <v>2242</v>
      </c>
      <c r="F239" s="126" t="s">
        <v>2482</v>
      </c>
      <c r="G239" s="129" t="s">
        <v>2729</v>
      </c>
      <c r="H239" s="126" t="s">
        <v>2989</v>
      </c>
      <c r="I239" s="133">
        <v>150000</v>
      </c>
      <c r="J239" s="135" t="s">
        <v>3229</v>
      </c>
    </row>
    <row r="240" spans="1:10" ht="31.5" x14ac:dyDescent="0.2">
      <c r="A240">
        <v>237</v>
      </c>
      <c r="B240" s="136" t="s">
        <v>3468</v>
      </c>
      <c r="C240" s="126" t="s">
        <v>1859</v>
      </c>
      <c r="D240" s="126" t="s">
        <v>2242</v>
      </c>
      <c r="F240" s="126" t="s">
        <v>3860</v>
      </c>
      <c r="G240" s="129" t="s">
        <v>2712</v>
      </c>
      <c r="H240" s="126" t="s">
        <v>2989</v>
      </c>
      <c r="I240" s="132" t="s">
        <v>3115</v>
      </c>
      <c r="J240" s="135" t="s">
        <v>3229</v>
      </c>
    </row>
    <row r="241" spans="1:10" ht="47.25" x14ac:dyDescent="0.2">
      <c r="A241">
        <v>238</v>
      </c>
      <c r="B241" s="136" t="s">
        <v>3469</v>
      </c>
      <c r="C241" s="126" t="s">
        <v>1860</v>
      </c>
      <c r="D241" s="126" t="s">
        <v>2243</v>
      </c>
      <c r="F241" s="126" t="s">
        <v>2482</v>
      </c>
      <c r="G241" s="129" t="s">
        <v>2730</v>
      </c>
      <c r="H241" s="126" t="s">
        <v>2989</v>
      </c>
      <c r="I241" s="133">
        <v>200000</v>
      </c>
      <c r="J241" s="135" t="s">
        <v>3229</v>
      </c>
    </row>
    <row r="242" spans="1:10" ht="31.5" x14ac:dyDescent="0.2">
      <c r="A242">
        <v>239</v>
      </c>
      <c r="B242" s="136" t="s">
        <v>3470</v>
      </c>
      <c r="C242" s="126" t="s">
        <v>1861</v>
      </c>
      <c r="D242" s="126" t="s">
        <v>2244</v>
      </c>
      <c r="F242" s="126" t="s">
        <v>3859</v>
      </c>
      <c r="G242" s="129" t="s">
        <v>2731</v>
      </c>
      <c r="H242" s="126" t="s">
        <v>2989</v>
      </c>
      <c r="I242" s="132" t="s">
        <v>3115</v>
      </c>
      <c r="J242" s="135" t="s">
        <v>3229</v>
      </c>
    </row>
    <row r="243" spans="1:10" ht="47.25" x14ac:dyDescent="0.2">
      <c r="A243">
        <v>240</v>
      </c>
      <c r="B243" s="136" t="s">
        <v>3471</v>
      </c>
      <c r="C243" s="126" t="s">
        <v>1862</v>
      </c>
      <c r="D243" s="126" t="s">
        <v>2245</v>
      </c>
      <c r="F243" s="126" t="s">
        <v>2482</v>
      </c>
      <c r="G243" s="129" t="s">
        <v>2730</v>
      </c>
      <c r="H243" s="126" t="s">
        <v>2989</v>
      </c>
      <c r="I243" s="133">
        <v>340000</v>
      </c>
      <c r="J243" s="135" t="s">
        <v>3229</v>
      </c>
    </row>
    <row r="244" spans="1:10" ht="31.5" x14ac:dyDescent="0.2">
      <c r="A244">
        <v>241</v>
      </c>
      <c r="B244" s="136" t="s">
        <v>3472</v>
      </c>
      <c r="C244" s="126" t="s">
        <v>1862</v>
      </c>
      <c r="D244" s="126" t="s">
        <v>2246</v>
      </c>
      <c r="F244" s="126" t="s">
        <v>3843</v>
      </c>
      <c r="G244" s="129" t="s">
        <v>2732</v>
      </c>
      <c r="H244" s="126" t="s">
        <v>2991</v>
      </c>
      <c r="I244" s="132" t="s">
        <v>3151</v>
      </c>
      <c r="J244" s="135" t="s">
        <v>3229</v>
      </c>
    </row>
    <row r="245" spans="1:10" ht="31.5" x14ac:dyDescent="0.2">
      <c r="A245">
        <v>242</v>
      </c>
      <c r="B245" s="136" t="s">
        <v>3473</v>
      </c>
      <c r="C245" s="127" t="s">
        <v>1862</v>
      </c>
      <c r="D245" s="127">
        <v>211076302</v>
      </c>
      <c r="E245" s="127"/>
      <c r="F245" s="127" t="s">
        <v>2482</v>
      </c>
      <c r="G245" s="131" t="s">
        <v>2732</v>
      </c>
      <c r="H245" s="127" t="s">
        <v>2991</v>
      </c>
      <c r="I245" s="134" t="s">
        <v>3151</v>
      </c>
      <c r="J245" s="135" t="s">
        <v>3229</v>
      </c>
    </row>
    <row r="246" spans="1:10" ht="31.5" x14ac:dyDescent="0.2">
      <c r="A246">
        <v>243</v>
      </c>
      <c r="B246" s="136" t="s">
        <v>3474</v>
      </c>
      <c r="C246" s="127" t="s">
        <v>1863</v>
      </c>
      <c r="D246" s="127">
        <v>211063604</v>
      </c>
      <c r="E246" s="127"/>
      <c r="F246" s="127" t="s">
        <v>2482</v>
      </c>
      <c r="G246" s="131" t="s">
        <v>2733</v>
      </c>
      <c r="H246" s="127" t="s">
        <v>2989</v>
      </c>
      <c r="I246" s="134" t="s">
        <v>3166</v>
      </c>
      <c r="J246" s="135" t="s">
        <v>3229</v>
      </c>
    </row>
    <row r="247" spans="1:10" ht="31.5" x14ac:dyDescent="0.2">
      <c r="A247">
        <v>244</v>
      </c>
      <c r="B247" s="136" t="s">
        <v>3475</v>
      </c>
      <c r="C247" s="127" t="s">
        <v>1864</v>
      </c>
      <c r="D247" s="127">
        <v>213904403</v>
      </c>
      <c r="E247" s="127"/>
      <c r="F247" s="127" t="s">
        <v>2482</v>
      </c>
      <c r="G247" s="131" t="s">
        <v>2734</v>
      </c>
      <c r="H247" s="127" t="s">
        <v>2989</v>
      </c>
      <c r="I247" s="134" t="s">
        <v>3167</v>
      </c>
      <c r="J247" s="135" t="s">
        <v>3229</v>
      </c>
    </row>
    <row r="248" spans="1:10" ht="63" x14ac:dyDescent="0.2">
      <c r="A248">
        <v>245</v>
      </c>
      <c r="B248" s="136" t="s">
        <v>3476</v>
      </c>
      <c r="C248" s="126" t="s">
        <v>1865</v>
      </c>
      <c r="D248" s="126" t="s">
        <v>518</v>
      </c>
      <c r="F248" s="126" t="s">
        <v>3857</v>
      </c>
      <c r="G248" s="129" t="s">
        <v>2735</v>
      </c>
      <c r="H248" s="126" t="s">
        <v>2989</v>
      </c>
      <c r="I248" s="132" t="s">
        <v>3168</v>
      </c>
      <c r="J248" s="135" t="s">
        <v>3229</v>
      </c>
    </row>
    <row r="249" spans="1:10" ht="78.75" x14ac:dyDescent="0.2">
      <c r="A249">
        <v>246</v>
      </c>
      <c r="B249" s="136" t="s">
        <v>3477</v>
      </c>
      <c r="C249" s="126" t="s">
        <v>1866</v>
      </c>
      <c r="D249" s="126" t="s">
        <v>2247</v>
      </c>
      <c r="F249" s="126" t="s">
        <v>2482</v>
      </c>
      <c r="G249" s="129" t="s">
        <v>2736</v>
      </c>
      <c r="H249" s="126" t="s">
        <v>2989</v>
      </c>
      <c r="I249" s="133">
        <v>600000</v>
      </c>
      <c r="J249" s="135" t="s">
        <v>3229</v>
      </c>
    </row>
    <row r="250" spans="1:10" ht="78.75" x14ac:dyDescent="0.2">
      <c r="A250">
        <v>247</v>
      </c>
      <c r="B250" s="136" t="s">
        <v>3478</v>
      </c>
      <c r="C250" s="126" t="s">
        <v>1867</v>
      </c>
      <c r="D250" s="126" t="s">
        <v>2248</v>
      </c>
      <c r="F250" s="126" t="s">
        <v>2482</v>
      </c>
      <c r="G250" s="129" t="s">
        <v>2736</v>
      </c>
      <c r="H250" s="126" t="s">
        <v>2989</v>
      </c>
      <c r="I250" s="133">
        <v>650000</v>
      </c>
      <c r="J250" s="135" t="s">
        <v>3229</v>
      </c>
    </row>
    <row r="251" spans="1:10" ht="15.75" x14ac:dyDescent="0.2">
      <c r="A251">
        <v>248</v>
      </c>
      <c r="B251" s="136" t="s">
        <v>3479</v>
      </c>
      <c r="C251" s="126" t="s">
        <v>1868</v>
      </c>
      <c r="D251" s="126" t="s">
        <v>2249</v>
      </c>
      <c r="F251" s="126" t="s">
        <v>3858</v>
      </c>
      <c r="G251" s="129" t="s">
        <v>2737</v>
      </c>
      <c r="H251" s="126" t="s">
        <v>2991</v>
      </c>
      <c r="I251" s="133">
        <v>120000</v>
      </c>
      <c r="J251" s="135" t="s">
        <v>3229</v>
      </c>
    </row>
    <row r="252" spans="1:10" ht="31.5" x14ac:dyDescent="0.2">
      <c r="A252">
        <v>249</v>
      </c>
      <c r="B252" s="136" t="s">
        <v>3480</v>
      </c>
      <c r="C252" s="126" t="s">
        <v>1869</v>
      </c>
      <c r="D252" s="126" t="s">
        <v>2250</v>
      </c>
      <c r="E252" s="126"/>
      <c r="F252" s="126" t="s">
        <v>2483</v>
      </c>
      <c r="G252" s="129" t="s">
        <v>2738</v>
      </c>
      <c r="H252" s="126" t="s">
        <v>3014</v>
      </c>
      <c r="I252" s="132" t="s">
        <v>3159</v>
      </c>
      <c r="J252" s="135" t="s">
        <v>3229</v>
      </c>
    </row>
    <row r="253" spans="1:10" ht="63" x14ac:dyDescent="0.2">
      <c r="A253">
        <v>250</v>
      </c>
      <c r="B253" s="136" t="s">
        <v>3481</v>
      </c>
      <c r="C253" s="126" t="s">
        <v>1870</v>
      </c>
      <c r="D253" s="126" t="s">
        <v>518</v>
      </c>
      <c r="F253" s="126" t="s">
        <v>3894</v>
      </c>
      <c r="G253" s="129" t="s">
        <v>2739</v>
      </c>
      <c r="H253" s="126" t="s">
        <v>3015</v>
      </c>
      <c r="I253" s="133">
        <v>2500000</v>
      </c>
      <c r="J253" s="135" t="s">
        <v>3229</v>
      </c>
    </row>
    <row r="254" spans="1:10" ht="63" x14ac:dyDescent="0.2">
      <c r="A254">
        <v>251</v>
      </c>
      <c r="B254" s="136" t="s">
        <v>3482</v>
      </c>
      <c r="C254" s="126" t="s">
        <v>1871</v>
      </c>
      <c r="D254" s="126" t="s">
        <v>2251</v>
      </c>
      <c r="F254" s="126" t="s">
        <v>2471</v>
      </c>
      <c r="G254" s="129" t="s">
        <v>2740</v>
      </c>
      <c r="H254" s="126" t="s">
        <v>3004</v>
      </c>
      <c r="I254" s="133">
        <v>120000</v>
      </c>
      <c r="J254" s="135" t="s">
        <v>3229</v>
      </c>
    </row>
    <row r="255" spans="1:10" ht="63" x14ac:dyDescent="0.2">
      <c r="A255">
        <v>252</v>
      </c>
      <c r="B255" s="136" t="s">
        <v>3483</v>
      </c>
      <c r="C255" s="126" t="s">
        <v>1872</v>
      </c>
      <c r="D255" s="126" t="s">
        <v>2252</v>
      </c>
      <c r="E255" s="126"/>
      <c r="F255" s="126" t="s">
        <v>2484</v>
      </c>
      <c r="G255" s="129" t="s">
        <v>2741</v>
      </c>
      <c r="H255" s="126" t="s">
        <v>3014</v>
      </c>
      <c r="I255" s="133">
        <v>320000</v>
      </c>
      <c r="J255" s="135" t="s">
        <v>3229</v>
      </c>
    </row>
    <row r="256" spans="1:10" ht="63" x14ac:dyDescent="0.2">
      <c r="A256">
        <v>253</v>
      </c>
      <c r="B256" s="136" t="s">
        <v>3484</v>
      </c>
      <c r="C256" s="126" t="s">
        <v>1872</v>
      </c>
      <c r="D256" s="126" t="s">
        <v>2253</v>
      </c>
      <c r="F256" s="126" t="s">
        <v>2491</v>
      </c>
      <c r="G256" s="129" t="s">
        <v>2742</v>
      </c>
      <c r="H256" s="126" t="s">
        <v>3014</v>
      </c>
      <c r="I256" s="132" t="s">
        <v>3101</v>
      </c>
      <c r="J256" s="135" t="s">
        <v>3229</v>
      </c>
    </row>
    <row r="257" spans="1:10" ht="47.25" x14ac:dyDescent="0.2">
      <c r="A257">
        <v>254</v>
      </c>
      <c r="B257" s="136" t="s">
        <v>3485</v>
      </c>
      <c r="C257" s="126" t="s">
        <v>1873</v>
      </c>
      <c r="D257" s="126" t="s">
        <v>2254</v>
      </c>
      <c r="F257" s="126" t="s">
        <v>2471</v>
      </c>
      <c r="G257" s="130" t="s">
        <v>2743</v>
      </c>
      <c r="H257" s="126" t="s">
        <v>3016</v>
      </c>
      <c r="I257" s="133">
        <v>6000</v>
      </c>
      <c r="J257" s="135" t="s">
        <v>3229</v>
      </c>
    </row>
    <row r="258" spans="1:10" ht="47.25" x14ac:dyDescent="0.2">
      <c r="A258">
        <v>255</v>
      </c>
      <c r="B258" s="136" t="s">
        <v>3486</v>
      </c>
      <c r="C258" s="126" t="s">
        <v>1874</v>
      </c>
      <c r="D258" s="126" t="s">
        <v>2255</v>
      </c>
      <c r="F258" s="126" t="s">
        <v>2471</v>
      </c>
      <c r="G258" s="130" t="s">
        <v>2744</v>
      </c>
      <c r="H258" s="126" t="s">
        <v>3004</v>
      </c>
      <c r="I258" s="133">
        <v>150000</v>
      </c>
      <c r="J258" s="135" t="s">
        <v>3229</v>
      </c>
    </row>
    <row r="259" spans="1:10" ht="47.25" x14ac:dyDescent="0.2">
      <c r="A259">
        <v>256</v>
      </c>
      <c r="B259" s="136" t="s">
        <v>3487</v>
      </c>
      <c r="C259" s="126" t="s">
        <v>1875</v>
      </c>
      <c r="D259" s="126" t="s">
        <v>2256</v>
      </c>
      <c r="F259" s="126" t="s">
        <v>2471</v>
      </c>
      <c r="G259" s="129" t="s">
        <v>2745</v>
      </c>
      <c r="H259" s="126" t="s">
        <v>2993</v>
      </c>
      <c r="I259" s="133">
        <v>250000</v>
      </c>
      <c r="J259" s="135" t="s">
        <v>3229</v>
      </c>
    </row>
    <row r="260" spans="1:10" ht="47.25" x14ac:dyDescent="0.2">
      <c r="A260">
        <v>257</v>
      </c>
      <c r="B260" s="136" t="s">
        <v>3488</v>
      </c>
      <c r="C260" s="126" t="s">
        <v>1876</v>
      </c>
      <c r="D260" s="126" t="s">
        <v>2257</v>
      </c>
      <c r="F260" s="126" t="s">
        <v>2471</v>
      </c>
      <c r="G260" s="129" t="s">
        <v>2746</v>
      </c>
      <c r="H260" s="126" t="s">
        <v>3004</v>
      </c>
      <c r="I260" s="133">
        <v>280000</v>
      </c>
      <c r="J260" s="135" t="s">
        <v>3229</v>
      </c>
    </row>
    <row r="261" spans="1:10" ht="63" x14ac:dyDescent="0.2">
      <c r="A261">
        <v>258</v>
      </c>
      <c r="B261" s="136" t="s">
        <v>3489</v>
      </c>
      <c r="C261" s="126" t="s">
        <v>1877</v>
      </c>
      <c r="D261" s="126" t="s">
        <v>2258</v>
      </c>
      <c r="F261" s="126" t="s">
        <v>2491</v>
      </c>
      <c r="G261" s="129" t="s">
        <v>2747</v>
      </c>
      <c r="H261" s="126" t="s">
        <v>3017</v>
      </c>
      <c r="I261" s="132" t="s">
        <v>3122</v>
      </c>
      <c r="J261" s="135" t="s">
        <v>3229</v>
      </c>
    </row>
    <row r="262" spans="1:10" ht="63" x14ac:dyDescent="0.2">
      <c r="A262">
        <v>259</v>
      </c>
      <c r="B262" s="136" t="s">
        <v>3490</v>
      </c>
      <c r="C262" s="127" t="s">
        <v>1877</v>
      </c>
      <c r="D262" s="127" t="s">
        <v>2259</v>
      </c>
      <c r="F262" s="127" t="s">
        <v>2471</v>
      </c>
      <c r="G262" s="131" t="s">
        <v>2747</v>
      </c>
      <c r="H262" s="127" t="s">
        <v>3017</v>
      </c>
      <c r="I262" s="134" t="s">
        <v>3122</v>
      </c>
      <c r="J262" s="135" t="s">
        <v>3229</v>
      </c>
    </row>
    <row r="263" spans="1:10" ht="47.25" x14ac:dyDescent="0.2">
      <c r="A263">
        <v>260</v>
      </c>
      <c r="B263" s="136" t="s">
        <v>3491</v>
      </c>
      <c r="C263" s="126" t="s">
        <v>1878</v>
      </c>
      <c r="D263" s="126" t="s">
        <v>2260</v>
      </c>
      <c r="E263" s="126"/>
      <c r="F263" s="126" t="s">
        <v>2485</v>
      </c>
      <c r="G263" s="129" t="s">
        <v>2748</v>
      </c>
      <c r="H263" s="126" t="s">
        <v>3004</v>
      </c>
      <c r="I263" s="133">
        <v>350000</v>
      </c>
      <c r="J263" s="135" t="s">
        <v>3229</v>
      </c>
    </row>
    <row r="264" spans="1:10" ht="63" x14ac:dyDescent="0.2">
      <c r="A264">
        <v>261</v>
      </c>
      <c r="B264" s="136" t="s">
        <v>3492</v>
      </c>
      <c r="C264" s="126" t="s">
        <v>1879</v>
      </c>
      <c r="D264" s="126" t="s">
        <v>2261</v>
      </c>
      <c r="F264" s="126" t="s">
        <v>2491</v>
      </c>
      <c r="G264" s="129" t="s">
        <v>2749</v>
      </c>
      <c r="H264" s="126" t="s">
        <v>2987</v>
      </c>
      <c r="I264" s="133">
        <v>170000</v>
      </c>
      <c r="J264" s="135" t="s">
        <v>3229</v>
      </c>
    </row>
    <row r="265" spans="1:10" ht="47.25" x14ac:dyDescent="0.2">
      <c r="A265">
        <v>262</v>
      </c>
      <c r="B265" s="136" t="s">
        <v>3493</v>
      </c>
      <c r="C265" s="126" t="s">
        <v>1880</v>
      </c>
      <c r="D265" s="126" t="s">
        <v>2262</v>
      </c>
      <c r="E265" s="126"/>
      <c r="F265" s="126" t="s">
        <v>2485</v>
      </c>
      <c r="G265" s="129" t="s">
        <v>2750</v>
      </c>
      <c r="H265" s="126" t="s">
        <v>3004</v>
      </c>
      <c r="I265" s="133">
        <v>500000</v>
      </c>
      <c r="J265" s="135" t="s">
        <v>3229</v>
      </c>
    </row>
    <row r="266" spans="1:10" ht="78.75" x14ac:dyDescent="0.2">
      <c r="A266">
        <v>263</v>
      </c>
      <c r="B266" s="136" t="s">
        <v>3494</v>
      </c>
      <c r="C266" s="126" t="s">
        <v>1881</v>
      </c>
      <c r="D266" s="126" t="s">
        <v>2263</v>
      </c>
      <c r="E266" s="126"/>
      <c r="F266" s="126" t="s">
        <v>2486</v>
      </c>
      <c r="G266" s="129" t="s">
        <v>2751</v>
      </c>
      <c r="H266" s="126" t="s">
        <v>2987</v>
      </c>
      <c r="I266" s="132" t="s">
        <v>3169</v>
      </c>
      <c r="J266" s="135" t="s">
        <v>3229</v>
      </c>
    </row>
    <row r="267" spans="1:10" ht="31.5" x14ac:dyDescent="0.2">
      <c r="A267">
        <v>264</v>
      </c>
      <c r="B267" s="136" t="s">
        <v>3495</v>
      </c>
      <c r="C267" s="126" t="s">
        <v>1882</v>
      </c>
      <c r="D267" s="126" t="s">
        <v>2264</v>
      </c>
      <c r="F267" s="126" t="s">
        <v>2471</v>
      </c>
      <c r="G267" s="129" t="s">
        <v>2752</v>
      </c>
      <c r="H267" s="126" t="s">
        <v>2989</v>
      </c>
      <c r="I267" s="132" t="s">
        <v>3170</v>
      </c>
      <c r="J267" s="135" t="s">
        <v>3229</v>
      </c>
    </row>
    <row r="268" spans="1:10" ht="47.25" x14ac:dyDescent="0.2">
      <c r="A268">
        <v>265</v>
      </c>
      <c r="B268" s="136" t="s">
        <v>3496</v>
      </c>
      <c r="C268" s="126" t="s">
        <v>1883</v>
      </c>
      <c r="D268" s="126" t="s">
        <v>518</v>
      </c>
      <c r="F268" s="126" t="s">
        <v>3866</v>
      </c>
      <c r="G268" s="129" t="s">
        <v>2753</v>
      </c>
      <c r="H268" s="126" t="s">
        <v>2991</v>
      </c>
      <c r="I268" s="133">
        <v>80000</v>
      </c>
      <c r="J268" s="135" t="s">
        <v>3229</v>
      </c>
    </row>
    <row r="269" spans="1:10" ht="31.5" x14ac:dyDescent="0.2">
      <c r="A269">
        <v>266</v>
      </c>
      <c r="B269" s="136" t="s">
        <v>3497</v>
      </c>
      <c r="C269" s="126" t="s">
        <v>1884</v>
      </c>
      <c r="D269" s="126" t="s">
        <v>518</v>
      </c>
      <c r="F269" s="126" t="s">
        <v>3867</v>
      </c>
      <c r="G269" s="129" t="s">
        <v>2754</v>
      </c>
      <c r="H269" s="126" t="s">
        <v>2987</v>
      </c>
      <c r="I269" s="133">
        <v>50000</v>
      </c>
      <c r="J269" s="135" t="s">
        <v>3229</v>
      </c>
    </row>
    <row r="270" spans="1:10" ht="110.25" x14ac:dyDescent="0.2">
      <c r="A270">
        <v>267</v>
      </c>
      <c r="B270" s="136" t="s">
        <v>3498</v>
      </c>
      <c r="C270" s="126" t="s">
        <v>1885</v>
      </c>
      <c r="D270" s="126" t="s">
        <v>2265</v>
      </c>
      <c r="F270" s="126" t="s">
        <v>3868</v>
      </c>
      <c r="G270" s="129" t="s">
        <v>2755</v>
      </c>
      <c r="H270" s="126" t="s">
        <v>2989</v>
      </c>
      <c r="I270" s="133">
        <v>200000</v>
      </c>
      <c r="J270" s="135" t="s">
        <v>3229</v>
      </c>
    </row>
    <row r="271" spans="1:10" ht="31.5" x14ac:dyDescent="0.2">
      <c r="A271">
        <v>268</v>
      </c>
      <c r="B271" s="136" t="s">
        <v>3499</v>
      </c>
      <c r="C271" s="126" t="s">
        <v>1886</v>
      </c>
      <c r="D271" s="126" t="s">
        <v>2266</v>
      </c>
      <c r="F271" s="126" t="s">
        <v>3869</v>
      </c>
      <c r="G271" s="129" t="s">
        <v>2756</v>
      </c>
      <c r="H271" s="126" t="s">
        <v>3004</v>
      </c>
      <c r="I271" s="133">
        <v>150000</v>
      </c>
      <c r="J271" s="135" t="s">
        <v>3229</v>
      </c>
    </row>
    <row r="272" spans="1:10" ht="31.5" x14ac:dyDescent="0.2">
      <c r="A272">
        <v>269</v>
      </c>
      <c r="B272" s="136" t="s">
        <v>3500</v>
      </c>
      <c r="C272" s="126" t="s">
        <v>1887</v>
      </c>
      <c r="D272" s="126" t="s">
        <v>518</v>
      </c>
      <c r="F272" s="126" t="s">
        <v>3843</v>
      </c>
      <c r="G272" s="129" t="s">
        <v>2757</v>
      </c>
      <c r="H272" s="126" t="s">
        <v>2989</v>
      </c>
      <c r="I272" s="132" t="s">
        <v>3171</v>
      </c>
      <c r="J272" s="135" t="s">
        <v>3229</v>
      </c>
    </row>
    <row r="273" spans="1:10" ht="31.5" x14ac:dyDescent="0.2">
      <c r="A273">
        <v>270</v>
      </c>
      <c r="B273" s="136" t="s">
        <v>3501</v>
      </c>
      <c r="C273" s="126" t="s">
        <v>1888</v>
      </c>
      <c r="D273" s="126" t="s">
        <v>2267</v>
      </c>
      <c r="F273" s="126" t="s">
        <v>2491</v>
      </c>
      <c r="G273" s="129" t="s">
        <v>2758</v>
      </c>
      <c r="H273" s="126" t="s">
        <v>2989</v>
      </c>
      <c r="I273" s="132" t="s">
        <v>3142</v>
      </c>
      <c r="J273" s="135" t="s">
        <v>3229</v>
      </c>
    </row>
    <row r="274" spans="1:10" ht="31.5" x14ac:dyDescent="0.2">
      <c r="A274">
        <v>271</v>
      </c>
      <c r="B274" s="136" t="s">
        <v>3502</v>
      </c>
      <c r="C274" s="126" t="s">
        <v>1889</v>
      </c>
      <c r="D274" s="126" t="s">
        <v>518</v>
      </c>
      <c r="F274" s="126" t="s">
        <v>2471</v>
      </c>
      <c r="G274" s="129" t="s">
        <v>2759</v>
      </c>
      <c r="H274" s="126" t="s">
        <v>2991</v>
      </c>
      <c r="I274" s="133">
        <v>130000</v>
      </c>
      <c r="J274" s="135" t="s">
        <v>3229</v>
      </c>
    </row>
    <row r="275" spans="1:10" ht="47.25" x14ac:dyDescent="0.2">
      <c r="A275">
        <v>272</v>
      </c>
      <c r="B275" s="136" t="s">
        <v>3503</v>
      </c>
      <c r="C275" s="126" t="s">
        <v>1890</v>
      </c>
      <c r="D275" s="126" t="s">
        <v>2268</v>
      </c>
      <c r="F275" s="126" t="s">
        <v>3843</v>
      </c>
      <c r="G275" s="129" t="s">
        <v>2760</v>
      </c>
      <c r="H275" s="126" t="s">
        <v>2989</v>
      </c>
      <c r="I275" s="133">
        <v>210000</v>
      </c>
      <c r="J275" s="135" t="s">
        <v>3229</v>
      </c>
    </row>
    <row r="276" spans="1:10" ht="31.5" x14ac:dyDescent="0.2">
      <c r="A276">
        <v>273</v>
      </c>
      <c r="B276" s="136" t="s">
        <v>3504</v>
      </c>
      <c r="C276" s="127" t="s">
        <v>1891</v>
      </c>
      <c r="D276" s="127">
        <v>213903604</v>
      </c>
      <c r="F276" s="127" t="s">
        <v>3843</v>
      </c>
      <c r="G276" s="131" t="s">
        <v>2761</v>
      </c>
      <c r="H276" s="127" t="s">
        <v>2991</v>
      </c>
      <c r="I276" s="134" t="s">
        <v>3101</v>
      </c>
      <c r="J276" s="135" t="s">
        <v>3229</v>
      </c>
    </row>
    <row r="277" spans="1:10" ht="94.5" x14ac:dyDescent="0.2">
      <c r="A277">
        <v>274</v>
      </c>
      <c r="B277" s="136" t="s">
        <v>3505</v>
      </c>
      <c r="C277" s="126" t="s">
        <v>1892</v>
      </c>
      <c r="D277" s="126" t="s">
        <v>518</v>
      </c>
      <c r="F277" s="126" t="s">
        <v>2476</v>
      </c>
      <c r="G277" s="129" t="s">
        <v>2762</v>
      </c>
      <c r="H277" s="126" t="s">
        <v>2991</v>
      </c>
      <c r="I277" s="132" t="s">
        <v>3172</v>
      </c>
      <c r="J277" s="135" t="s">
        <v>3229</v>
      </c>
    </row>
    <row r="278" spans="1:10" ht="31.5" x14ac:dyDescent="0.2">
      <c r="A278">
        <v>275</v>
      </c>
      <c r="B278" s="136" t="s">
        <v>3506</v>
      </c>
      <c r="C278" s="126" t="s">
        <v>1893</v>
      </c>
      <c r="D278" s="126" t="s">
        <v>2269</v>
      </c>
      <c r="F278" s="126" t="s">
        <v>3861</v>
      </c>
      <c r="G278" s="129" t="s">
        <v>2763</v>
      </c>
      <c r="H278" s="126" t="s">
        <v>2989</v>
      </c>
      <c r="I278" s="132" t="s">
        <v>3143</v>
      </c>
      <c r="J278" s="135" t="s">
        <v>3229</v>
      </c>
    </row>
    <row r="279" spans="1:10" ht="78.75" x14ac:dyDescent="0.2">
      <c r="A279">
        <v>276</v>
      </c>
      <c r="B279" s="136" t="s">
        <v>3507</v>
      </c>
      <c r="C279" s="126" t="s">
        <v>1894</v>
      </c>
      <c r="D279" s="126" t="s">
        <v>518</v>
      </c>
      <c r="F279" s="126" t="s">
        <v>2491</v>
      </c>
      <c r="G279" s="129" t="s">
        <v>2764</v>
      </c>
      <c r="H279" s="126" t="s">
        <v>3018</v>
      </c>
      <c r="I279" s="133">
        <v>1187000</v>
      </c>
      <c r="J279" s="135" t="s">
        <v>3229</v>
      </c>
    </row>
    <row r="280" spans="1:10" ht="31.5" x14ac:dyDescent="0.2">
      <c r="A280">
        <v>277</v>
      </c>
      <c r="B280" s="136" t="s">
        <v>3508</v>
      </c>
      <c r="C280" s="126" t="s">
        <v>1895</v>
      </c>
      <c r="D280" s="126" t="s">
        <v>2270</v>
      </c>
      <c r="F280" s="126" t="s">
        <v>3859</v>
      </c>
      <c r="G280" s="129" t="s">
        <v>2765</v>
      </c>
      <c r="H280" s="126" t="s">
        <v>2989</v>
      </c>
      <c r="I280" s="132" t="s">
        <v>3173</v>
      </c>
      <c r="J280" s="135" t="s">
        <v>3229</v>
      </c>
    </row>
    <row r="281" spans="1:10" ht="31.5" x14ac:dyDescent="0.2">
      <c r="A281">
        <v>278</v>
      </c>
      <c r="B281" s="136" t="s">
        <v>3509</v>
      </c>
      <c r="C281" s="126" t="s">
        <v>1896</v>
      </c>
      <c r="D281" s="126" t="s">
        <v>2271</v>
      </c>
      <c r="F281" s="126" t="s">
        <v>3899</v>
      </c>
      <c r="G281" s="129" t="s">
        <v>2766</v>
      </c>
      <c r="H281" s="126" t="s">
        <v>2991</v>
      </c>
      <c r="I281" s="133">
        <v>190000</v>
      </c>
      <c r="J281" s="135" t="s">
        <v>3229</v>
      </c>
    </row>
    <row r="282" spans="1:10" ht="31.5" x14ac:dyDescent="0.2">
      <c r="A282">
        <v>279</v>
      </c>
      <c r="B282" s="136" t="s">
        <v>3510</v>
      </c>
      <c r="C282" s="126" t="s">
        <v>1897</v>
      </c>
      <c r="D282" s="126" t="s">
        <v>518</v>
      </c>
      <c r="F282" s="126" t="s">
        <v>3857</v>
      </c>
      <c r="G282" s="129" t="s">
        <v>2767</v>
      </c>
      <c r="H282" s="126" t="s">
        <v>2989</v>
      </c>
      <c r="I282" s="132" t="s">
        <v>3153</v>
      </c>
      <c r="J282" s="135" t="s">
        <v>3229</v>
      </c>
    </row>
    <row r="283" spans="1:10" ht="126" x14ac:dyDescent="0.2">
      <c r="A283">
        <v>280</v>
      </c>
      <c r="B283" s="136" t="s">
        <v>3511</v>
      </c>
      <c r="C283" s="126" t="s">
        <v>1898</v>
      </c>
      <c r="D283" s="126" t="s">
        <v>2272</v>
      </c>
      <c r="F283" s="126" t="s">
        <v>2471</v>
      </c>
      <c r="G283" s="129" t="s">
        <v>2768</v>
      </c>
      <c r="H283" s="126" t="s">
        <v>2989</v>
      </c>
      <c r="I283" s="132" t="s">
        <v>3123</v>
      </c>
      <c r="J283" s="135" t="s">
        <v>3229</v>
      </c>
    </row>
    <row r="284" spans="1:10" ht="31.5" x14ac:dyDescent="0.2">
      <c r="A284">
        <v>281</v>
      </c>
      <c r="B284" s="136" t="s">
        <v>3512</v>
      </c>
      <c r="C284" s="126" t="s">
        <v>1899</v>
      </c>
      <c r="D284" s="126" t="s">
        <v>518</v>
      </c>
      <c r="F284" s="126" t="s">
        <v>3857</v>
      </c>
      <c r="G284" s="129" t="s">
        <v>2767</v>
      </c>
      <c r="H284" s="126" t="s">
        <v>2989</v>
      </c>
      <c r="I284" s="132" t="s">
        <v>3174</v>
      </c>
      <c r="J284" s="135" t="s">
        <v>3229</v>
      </c>
    </row>
    <row r="285" spans="1:10" ht="94.5" x14ac:dyDescent="0.2">
      <c r="A285">
        <v>282</v>
      </c>
      <c r="B285" s="136" t="s">
        <v>3513</v>
      </c>
      <c r="C285" s="126" t="s">
        <v>1900</v>
      </c>
      <c r="D285" s="126" t="s">
        <v>2273</v>
      </c>
      <c r="F285" s="126" t="s">
        <v>2487</v>
      </c>
      <c r="G285" s="129" t="s">
        <v>2769</v>
      </c>
      <c r="H285" s="126" t="s">
        <v>2991</v>
      </c>
      <c r="I285" s="132" t="s">
        <v>3175</v>
      </c>
      <c r="J285" s="135" t="s">
        <v>3230</v>
      </c>
    </row>
    <row r="286" spans="1:10" ht="94.5" x14ac:dyDescent="0.2">
      <c r="A286">
        <v>283</v>
      </c>
      <c r="B286" s="136" t="s">
        <v>3514</v>
      </c>
      <c r="C286" s="126" t="s">
        <v>1901</v>
      </c>
      <c r="D286" s="126" t="s">
        <v>2274</v>
      </c>
      <c r="F286" s="126" t="s">
        <v>2471</v>
      </c>
      <c r="G286" s="129" t="s">
        <v>2770</v>
      </c>
      <c r="H286" s="126" t="s">
        <v>28</v>
      </c>
      <c r="I286" s="132" t="s">
        <v>3176</v>
      </c>
      <c r="J286" s="135" t="s">
        <v>3230</v>
      </c>
    </row>
    <row r="287" spans="1:10" ht="63" x14ac:dyDescent="0.2">
      <c r="A287">
        <v>284</v>
      </c>
      <c r="B287" s="136" t="s">
        <v>3515</v>
      </c>
      <c r="C287" s="126" t="s">
        <v>1902</v>
      </c>
      <c r="D287" s="126" t="s">
        <v>2275</v>
      </c>
      <c r="F287" s="126" t="s">
        <v>2491</v>
      </c>
      <c r="G287" s="129" t="s">
        <v>2771</v>
      </c>
      <c r="H287" s="126" t="s">
        <v>447</v>
      </c>
      <c r="I287" s="132" t="s">
        <v>3177</v>
      </c>
      <c r="J287" s="135" t="s">
        <v>3230</v>
      </c>
    </row>
    <row r="288" spans="1:10" ht="189" x14ac:dyDescent="0.2">
      <c r="A288">
        <v>285</v>
      </c>
      <c r="B288" s="136" t="s">
        <v>3516</v>
      </c>
      <c r="C288" s="126" t="s">
        <v>1903</v>
      </c>
      <c r="D288" s="126" t="s">
        <v>2276</v>
      </c>
      <c r="E288" s="126"/>
      <c r="F288" s="126" t="s">
        <v>2488</v>
      </c>
      <c r="G288" s="129" t="s">
        <v>2772</v>
      </c>
      <c r="H288" s="126" t="s">
        <v>2989</v>
      </c>
      <c r="I288" s="132" t="s">
        <v>3157</v>
      </c>
      <c r="J288" s="135" t="s">
        <v>3230</v>
      </c>
    </row>
    <row r="289" spans="1:10" ht="409.5" x14ac:dyDescent="0.2">
      <c r="A289">
        <v>286</v>
      </c>
      <c r="B289" s="136" t="s">
        <v>3517</v>
      </c>
      <c r="C289" s="126" t="s">
        <v>1904</v>
      </c>
      <c r="D289" s="126" t="s">
        <v>518</v>
      </c>
      <c r="F289" s="126" t="s">
        <v>3876</v>
      </c>
      <c r="G289" s="129" t="s">
        <v>2773</v>
      </c>
      <c r="H289" s="126" t="s">
        <v>2989</v>
      </c>
      <c r="I289" s="132" t="s">
        <v>3089</v>
      </c>
      <c r="J289" s="135" t="s">
        <v>3230</v>
      </c>
    </row>
    <row r="290" spans="1:10" ht="252" x14ac:dyDescent="0.2">
      <c r="A290">
        <v>287</v>
      </c>
      <c r="B290" s="136" t="s">
        <v>3518</v>
      </c>
      <c r="C290" s="126" t="s">
        <v>1905</v>
      </c>
      <c r="D290" s="126" t="s">
        <v>2277</v>
      </c>
      <c r="F290" s="126" t="s">
        <v>2489</v>
      </c>
      <c r="G290" s="129" t="s">
        <v>2774</v>
      </c>
      <c r="H290" s="126" t="s">
        <v>2991</v>
      </c>
      <c r="I290" s="132" t="s">
        <v>3171</v>
      </c>
      <c r="J290" s="135" t="s">
        <v>3230</v>
      </c>
    </row>
    <row r="291" spans="1:10" ht="31.5" x14ac:dyDescent="0.2">
      <c r="A291">
        <v>288</v>
      </c>
      <c r="B291" s="136" t="s">
        <v>3519</v>
      </c>
      <c r="C291" s="126" t="s">
        <v>1906</v>
      </c>
      <c r="D291" s="126" t="s">
        <v>2278</v>
      </c>
      <c r="F291" s="126" t="s">
        <v>2471</v>
      </c>
      <c r="G291" s="129" t="s">
        <v>2775</v>
      </c>
      <c r="H291" s="126" t="s">
        <v>447</v>
      </c>
      <c r="I291" s="132" t="s">
        <v>3178</v>
      </c>
      <c r="J291" s="135" t="s">
        <v>3230</v>
      </c>
    </row>
    <row r="292" spans="1:10" ht="47.25" x14ac:dyDescent="0.2">
      <c r="A292">
        <v>289</v>
      </c>
      <c r="B292" s="136" t="s">
        <v>3520</v>
      </c>
      <c r="C292" s="126" t="s">
        <v>1907</v>
      </c>
      <c r="D292" s="126" t="s">
        <v>2279</v>
      </c>
      <c r="F292" s="126" t="s">
        <v>2491</v>
      </c>
      <c r="G292" s="129" t="s">
        <v>2776</v>
      </c>
      <c r="H292" s="126" t="s">
        <v>2989</v>
      </c>
      <c r="I292" s="132" t="s">
        <v>3179</v>
      </c>
      <c r="J292" s="135" t="s">
        <v>3230</v>
      </c>
    </row>
    <row r="293" spans="1:10" ht="63" x14ac:dyDescent="0.2">
      <c r="A293">
        <v>290</v>
      </c>
      <c r="B293" s="136" t="s">
        <v>3521</v>
      </c>
      <c r="C293" s="126" t="s">
        <v>1908</v>
      </c>
      <c r="D293" s="126" t="s">
        <v>2280</v>
      </c>
      <c r="F293" s="126" t="s">
        <v>2471</v>
      </c>
      <c r="G293" s="129" t="s">
        <v>2777</v>
      </c>
      <c r="H293" s="126" t="s">
        <v>3019</v>
      </c>
      <c r="I293" s="132" t="s">
        <v>3180</v>
      </c>
      <c r="J293" s="135" t="s">
        <v>3230</v>
      </c>
    </row>
    <row r="294" spans="1:10" ht="78.75" x14ac:dyDescent="0.2">
      <c r="A294">
        <v>291</v>
      </c>
      <c r="B294" s="136" t="s">
        <v>3522</v>
      </c>
      <c r="C294" s="126" t="s">
        <v>1909</v>
      </c>
      <c r="D294" s="126" t="s">
        <v>2281</v>
      </c>
      <c r="F294" s="126" t="s">
        <v>2491</v>
      </c>
      <c r="G294" s="129" t="s">
        <v>2778</v>
      </c>
      <c r="H294" s="126" t="s">
        <v>2989</v>
      </c>
      <c r="I294" s="132" t="s">
        <v>3181</v>
      </c>
      <c r="J294" s="135" t="s">
        <v>3230</v>
      </c>
    </row>
    <row r="295" spans="1:10" ht="31.5" x14ac:dyDescent="0.2">
      <c r="A295">
        <v>292</v>
      </c>
      <c r="B295" s="136" t="s">
        <v>3523</v>
      </c>
      <c r="C295" s="126" t="s">
        <v>1910</v>
      </c>
      <c r="D295" s="126" t="s">
        <v>2282</v>
      </c>
      <c r="F295" s="126" t="s">
        <v>2471</v>
      </c>
      <c r="G295" s="129" t="s">
        <v>2779</v>
      </c>
      <c r="H295" s="126" t="s">
        <v>2989</v>
      </c>
      <c r="I295" s="132" t="s">
        <v>3182</v>
      </c>
      <c r="J295" s="135" t="s">
        <v>3230</v>
      </c>
    </row>
    <row r="296" spans="1:10" ht="63" x14ac:dyDescent="0.2">
      <c r="A296">
        <v>293</v>
      </c>
      <c r="B296" s="136" t="s">
        <v>3524</v>
      </c>
      <c r="C296" s="126" t="s">
        <v>1911</v>
      </c>
      <c r="D296" s="126" t="s">
        <v>2283</v>
      </c>
      <c r="F296" s="126" t="s">
        <v>2491</v>
      </c>
      <c r="G296" s="129" t="s">
        <v>2780</v>
      </c>
      <c r="H296" s="126" t="s">
        <v>2989</v>
      </c>
      <c r="I296" s="132" t="s">
        <v>3183</v>
      </c>
      <c r="J296" s="135" t="s">
        <v>3230</v>
      </c>
    </row>
    <row r="297" spans="1:10" ht="78.75" x14ac:dyDescent="0.2">
      <c r="A297">
        <v>294</v>
      </c>
      <c r="B297" s="136" t="s">
        <v>3525</v>
      </c>
      <c r="C297" s="126" t="s">
        <v>1912</v>
      </c>
      <c r="D297" s="126" t="s">
        <v>518</v>
      </c>
      <c r="F297" s="126" t="s">
        <v>3875</v>
      </c>
      <c r="G297" s="129" t="s">
        <v>2781</v>
      </c>
      <c r="H297" s="126" t="s">
        <v>2989</v>
      </c>
      <c r="I297" s="132" t="s">
        <v>3089</v>
      </c>
      <c r="J297" s="135" t="s">
        <v>3230</v>
      </c>
    </row>
    <row r="298" spans="1:10" ht="31.5" x14ac:dyDescent="0.2">
      <c r="A298">
        <v>295</v>
      </c>
      <c r="B298" s="136" t="s">
        <v>3526</v>
      </c>
      <c r="C298" s="126" t="s">
        <v>1913</v>
      </c>
      <c r="D298" s="126" t="s">
        <v>2284</v>
      </c>
      <c r="F298" s="126" t="s">
        <v>2471</v>
      </c>
      <c r="G298" s="129" t="s">
        <v>2782</v>
      </c>
      <c r="H298" s="126" t="s">
        <v>2989</v>
      </c>
      <c r="I298" s="132" t="s">
        <v>3184</v>
      </c>
      <c r="J298" s="135" t="s">
        <v>3230</v>
      </c>
    </row>
    <row r="299" spans="1:10" ht="63" x14ac:dyDescent="0.2">
      <c r="A299">
        <v>296</v>
      </c>
      <c r="B299" s="136" t="s">
        <v>3527</v>
      </c>
      <c r="C299" s="126" t="s">
        <v>1914</v>
      </c>
      <c r="D299" s="126" t="s">
        <v>2285</v>
      </c>
      <c r="F299" s="126" t="s">
        <v>2491</v>
      </c>
      <c r="G299" s="129" t="s">
        <v>2783</v>
      </c>
      <c r="H299" s="126" t="s">
        <v>447</v>
      </c>
      <c r="I299" s="132" t="s">
        <v>3147</v>
      </c>
      <c r="J299" s="135" t="s">
        <v>3230</v>
      </c>
    </row>
    <row r="300" spans="1:10" ht="63" x14ac:dyDescent="0.2">
      <c r="A300">
        <v>297</v>
      </c>
      <c r="B300" s="136" t="s">
        <v>3528</v>
      </c>
      <c r="C300" s="126" t="s">
        <v>1915</v>
      </c>
      <c r="D300" s="126" t="s">
        <v>2286</v>
      </c>
      <c r="F300" s="126" t="s">
        <v>2471</v>
      </c>
      <c r="G300" s="129" t="s">
        <v>2784</v>
      </c>
      <c r="H300" s="126" t="s">
        <v>2989</v>
      </c>
      <c r="I300" s="132" t="s">
        <v>3185</v>
      </c>
      <c r="J300" s="135" t="s">
        <v>3230</v>
      </c>
    </row>
    <row r="301" spans="1:10" ht="47.25" x14ac:dyDescent="0.2">
      <c r="A301">
        <v>298</v>
      </c>
      <c r="B301" s="136" t="s">
        <v>3529</v>
      </c>
      <c r="C301" s="126" t="s">
        <v>1916</v>
      </c>
      <c r="D301" s="126" t="s">
        <v>2287</v>
      </c>
      <c r="F301" s="126" t="s">
        <v>2471</v>
      </c>
      <c r="G301" s="129" t="s">
        <v>2785</v>
      </c>
      <c r="H301" s="126" t="s">
        <v>2989</v>
      </c>
      <c r="I301" s="132" t="s">
        <v>3186</v>
      </c>
      <c r="J301" s="135" t="s">
        <v>3230</v>
      </c>
    </row>
    <row r="302" spans="1:10" ht="173.25" x14ac:dyDescent="0.2">
      <c r="A302">
        <v>299</v>
      </c>
      <c r="B302" s="136" t="s">
        <v>3530</v>
      </c>
      <c r="C302" s="126" t="s">
        <v>1917</v>
      </c>
      <c r="D302" s="126" t="s">
        <v>2288</v>
      </c>
      <c r="F302" s="126" t="s">
        <v>2490</v>
      </c>
      <c r="G302" s="129" t="s">
        <v>2786</v>
      </c>
      <c r="H302" s="126" t="s">
        <v>2991</v>
      </c>
      <c r="I302" s="132" t="s">
        <v>3080</v>
      </c>
      <c r="J302" s="135" t="s">
        <v>3230</v>
      </c>
    </row>
    <row r="303" spans="1:10" ht="78.75" x14ac:dyDescent="0.2">
      <c r="A303">
        <v>300</v>
      </c>
      <c r="B303" s="136" t="s">
        <v>3531</v>
      </c>
      <c r="C303" s="126" t="s">
        <v>1918</v>
      </c>
      <c r="D303" s="126" t="s">
        <v>2289</v>
      </c>
      <c r="F303" s="126" t="s">
        <v>2491</v>
      </c>
      <c r="G303" s="129" t="s">
        <v>2787</v>
      </c>
      <c r="H303" s="126" t="s">
        <v>3020</v>
      </c>
      <c r="I303" s="132" t="s">
        <v>3087</v>
      </c>
      <c r="J303" s="135" t="s">
        <v>3230</v>
      </c>
    </row>
    <row r="304" spans="1:10" ht="94.5" x14ac:dyDescent="0.2">
      <c r="A304">
        <v>301</v>
      </c>
      <c r="B304" s="136" t="s">
        <v>3532</v>
      </c>
      <c r="C304" s="126" t="s">
        <v>1919</v>
      </c>
      <c r="D304" s="126" t="s">
        <v>2290</v>
      </c>
      <c r="F304" s="126" t="s">
        <v>3900</v>
      </c>
      <c r="G304" s="129" t="s">
        <v>2788</v>
      </c>
      <c r="H304" s="126" t="s">
        <v>3021</v>
      </c>
      <c r="I304" s="133">
        <v>2354000</v>
      </c>
      <c r="J304" s="135" t="s">
        <v>3231</v>
      </c>
    </row>
    <row r="305" spans="1:10" ht="63" x14ac:dyDescent="0.2">
      <c r="A305">
        <v>302</v>
      </c>
      <c r="B305" s="136" t="s">
        <v>3533</v>
      </c>
      <c r="C305" s="127" t="s">
        <v>1920</v>
      </c>
      <c r="D305" s="127"/>
      <c r="F305" s="127" t="s">
        <v>3900</v>
      </c>
      <c r="G305" s="131" t="s">
        <v>2789</v>
      </c>
      <c r="H305" s="127" t="s">
        <v>3022</v>
      </c>
      <c r="I305" s="134" t="s">
        <v>3077</v>
      </c>
      <c r="J305" s="135" t="s">
        <v>3231</v>
      </c>
    </row>
    <row r="306" spans="1:10" ht="78.75" x14ac:dyDescent="0.2">
      <c r="A306">
        <v>303</v>
      </c>
      <c r="B306" s="136" t="s">
        <v>3534</v>
      </c>
      <c r="C306" s="126" t="s">
        <v>1921</v>
      </c>
      <c r="D306" s="126" t="s">
        <v>2291</v>
      </c>
      <c r="F306" s="126" t="s">
        <v>3900</v>
      </c>
      <c r="G306" s="129" t="s">
        <v>2790</v>
      </c>
      <c r="H306" s="126" t="s">
        <v>3021</v>
      </c>
      <c r="I306" s="133">
        <v>1389000</v>
      </c>
      <c r="J306" s="135" t="s">
        <v>3231</v>
      </c>
    </row>
    <row r="307" spans="1:10" ht="110.25" x14ac:dyDescent="0.2">
      <c r="A307">
        <v>304</v>
      </c>
      <c r="B307" s="136" t="s">
        <v>3535</v>
      </c>
      <c r="C307" s="126" t="s">
        <v>1922</v>
      </c>
      <c r="D307" s="126" t="s">
        <v>2292</v>
      </c>
      <c r="F307" s="126" t="s">
        <v>3900</v>
      </c>
      <c r="G307" s="129" t="s">
        <v>2791</v>
      </c>
      <c r="H307" s="126" t="s">
        <v>3021</v>
      </c>
      <c r="I307" s="133">
        <v>6022000</v>
      </c>
      <c r="J307" s="135" t="s">
        <v>3231</v>
      </c>
    </row>
    <row r="308" spans="1:10" ht="31.5" x14ac:dyDescent="0.2">
      <c r="A308">
        <v>305</v>
      </c>
      <c r="B308" s="136" t="s">
        <v>3536</v>
      </c>
      <c r="C308" s="126" t="s">
        <v>1923</v>
      </c>
      <c r="D308" s="126" t="s">
        <v>2293</v>
      </c>
      <c r="F308" s="126" t="s">
        <v>3900</v>
      </c>
      <c r="G308" s="129" t="s">
        <v>2792</v>
      </c>
      <c r="H308" s="126" t="s">
        <v>3023</v>
      </c>
      <c r="I308" s="132" t="s">
        <v>3086</v>
      </c>
      <c r="J308" s="135" t="s">
        <v>3231</v>
      </c>
    </row>
    <row r="309" spans="1:10" ht="63" x14ac:dyDescent="0.2">
      <c r="A309">
        <v>306</v>
      </c>
      <c r="B309" s="136" t="s">
        <v>3537</v>
      </c>
      <c r="C309" s="126" t="s">
        <v>1924</v>
      </c>
      <c r="D309" s="126" t="s">
        <v>518</v>
      </c>
      <c r="F309" s="126" t="s">
        <v>3844</v>
      </c>
      <c r="G309" s="129" t="s">
        <v>2793</v>
      </c>
      <c r="H309" s="126" t="s">
        <v>3023</v>
      </c>
      <c r="I309" s="132" t="s">
        <v>3153</v>
      </c>
      <c r="J309" s="135" t="s">
        <v>3231</v>
      </c>
    </row>
    <row r="310" spans="1:10" ht="31.5" x14ac:dyDescent="0.2">
      <c r="A310">
        <v>307</v>
      </c>
      <c r="B310" s="136" t="s">
        <v>3538</v>
      </c>
      <c r="C310" s="126" t="s">
        <v>1925</v>
      </c>
      <c r="D310" s="126" t="s">
        <v>2294</v>
      </c>
      <c r="F310" s="126" t="s">
        <v>3851</v>
      </c>
      <c r="G310" s="130" t="s">
        <v>2794</v>
      </c>
      <c r="H310" s="126" t="s">
        <v>3024</v>
      </c>
      <c r="I310" s="132" t="s">
        <v>3187</v>
      </c>
      <c r="J310" s="135" t="s">
        <v>3231</v>
      </c>
    </row>
    <row r="311" spans="1:10" ht="63" x14ac:dyDescent="0.2">
      <c r="A311">
        <v>308</v>
      </c>
      <c r="B311" s="136" t="s">
        <v>3539</v>
      </c>
      <c r="C311" s="126" t="s">
        <v>1925</v>
      </c>
      <c r="D311" s="126" t="s">
        <v>2295</v>
      </c>
      <c r="F311" s="126" t="s">
        <v>3900</v>
      </c>
      <c r="G311" s="129" t="s">
        <v>2795</v>
      </c>
      <c r="H311" s="126" t="s">
        <v>3024</v>
      </c>
      <c r="I311" s="133">
        <v>1080000</v>
      </c>
      <c r="J311" s="135" t="s">
        <v>3231</v>
      </c>
    </row>
    <row r="312" spans="1:10" ht="63" x14ac:dyDescent="0.2">
      <c r="A312">
        <v>309</v>
      </c>
      <c r="B312" s="136" t="s">
        <v>3540</v>
      </c>
      <c r="C312" s="126" t="s">
        <v>442</v>
      </c>
      <c r="D312" s="126" t="s">
        <v>2296</v>
      </c>
      <c r="F312" s="126" t="s">
        <v>3900</v>
      </c>
      <c r="G312" s="129" t="s">
        <v>2796</v>
      </c>
      <c r="H312" s="126" t="s">
        <v>3025</v>
      </c>
      <c r="I312" s="132" t="s">
        <v>3103</v>
      </c>
      <c r="J312" s="135" t="s">
        <v>3231</v>
      </c>
    </row>
    <row r="313" spans="1:10" ht="47.25" x14ac:dyDescent="0.2">
      <c r="A313">
        <v>310</v>
      </c>
      <c r="B313" s="136" t="s">
        <v>3541</v>
      </c>
      <c r="C313" s="126" t="s">
        <v>442</v>
      </c>
      <c r="D313" s="126" t="s">
        <v>2297</v>
      </c>
      <c r="F313" s="126" t="s">
        <v>3844</v>
      </c>
      <c r="G313" s="129" t="s">
        <v>2797</v>
      </c>
      <c r="H313" s="126" t="s">
        <v>3026</v>
      </c>
      <c r="I313" s="133">
        <v>250000</v>
      </c>
      <c r="J313" s="135" t="s">
        <v>3231</v>
      </c>
    </row>
    <row r="314" spans="1:10" ht="31.5" x14ac:dyDescent="0.2">
      <c r="A314">
        <v>311</v>
      </c>
      <c r="B314" s="136" t="s">
        <v>3542</v>
      </c>
      <c r="C314" s="126" t="s">
        <v>442</v>
      </c>
      <c r="D314" s="126" t="s">
        <v>2298</v>
      </c>
      <c r="F314" s="126" t="s">
        <v>3862</v>
      </c>
      <c r="G314" s="129" t="s">
        <v>2798</v>
      </c>
      <c r="H314" s="126" t="s">
        <v>3026</v>
      </c>
      <c r="I314" s="132" t="s">
        <v>3124</v>
      </c>
      <c r="J314" s="135" t="s">
        <v>3231</v>
      </c>
    </row>
    <row r="315" spans="1:10" ht="31.5" x14ac:dyDescent="0.2">
      <c r="A315">
        <v>312</v>
      </c>
      <c r="B315" s="136" t="s">
        <v>3543</v>
      </c>
      <c r="C315" s="126" t="s">
        <v>442</v>
      </c>
      <c r="D315" s="126" t="s">
        <v>2299</v>
      </c>
      <c r="F315" s="126" t="s">
        <v>3844</v>
      </c>
      <c r="G315" s="129" t="s">
        <v>2799</v>
      </c>
      <c r="H315" s="126" t="s">
        <v>3025</v>
      </c>
      <c r="I315" s="132" t="s">
        <v>3071</v>
      </c>
      <c r="J315" s="135" t="s">
        <v>3231</v>
      </c>
    </row>
    <row r="316" spans="1:10" ht="47.25" x14ac:dyDescent="0.2">
      <c r="A316">
        <v>313</v>
      </c>
      <c r="B316" s="136" t="s">
        <v>3544</v>
      </c>
      <c r="C316" s="126" t="s">
        <v>442</v>
      </c>
      <c r="D316" s="126" t="s">
        <v>2300</v>
      </c>
      <c r="F316" s="126" t="s">
        <v>2491</v>
      </c>
      <c r="G316" s="129" t="s">
        <v>2800</v>
      </c>
      <c r="H316" s="126" t="s">
        <v>3027</v>
      </c>
      <c r="I316" s="133">
        <v>150000</v>
      </c>
      <c r="J316" s="135" t="s">
        <v>3231</v>
      </c>
    </row>
    <row r="317" spans="1:10" ht="47.25" x14ac:dyDescent="0.2">
      <c r="A317">
        <v>314</v>
      </c>
      <c r="B317" s="136" t="s">
        <v>3545</v>
      </c>
      <c r="C317" s="126" t="s">
        <v>1926</v>
      </c>
      <c r="D317" s="126" t="s">
        <v>2301</v>
      </c>
      <c r="F317" s="126" t="s">
        <v>3848</v>
      </c>
      <c r="G317" s="129" t="s">
        <v>2801</v>
      </c>
      <c r="H317" s="126" t="s">
        <v>3028</v>
      </c>
      <c r="I317" s="132" t="s">
        <v>3129</v>
      </c>
      <c r="J317" s="135" t="s">
        <v>3231</v>
      </c>
    </row>
    <row r="318" spans="1:10" ht="31.5" x14ac:dyDescent="0.2">
      <c r="A318">
        <v>315</v>
      </c>
      <c r="B318" s="136" t="s">
        <v>3546</v>
      </c>
      <c r="C318" s="126" t="s">
        <v>1927</v>
      </c>
      <c r="D318" s="126" t="s">
        <v>2302</v>
      </c>
      <c r="F318" s="126" t="s">
        <v>3851</v>
      </c>
      <c r="G318" s="129" t="s">
        <v>2802</v>
      </c>
      <c r="H318" s="126" t="s">
        <v>3029</v>
      </c>
      <c r="I318" s="132" t="s">
        <v>3156</v>
      </c>
      <c r="J318" s="135" t="s">
        <v>3231</v>
      </c>
    </row>
    <row r="319" spans="1:10" ht="63" x14ac:dyDescent="0.2">
      <c r="A319">
        <v>316</v>
      </c>
      <c r="B319" s="136" t="s">
        <v>3547</v>
      </c>
      <c r="C319" s="126" t="s">
        <v>1928</v>
      </c>
      <c r="D319" s="126" t="s">
        <v>2303</v>
      </c>
      <c r="E319" s="126"/>
      <c r="F319" s="126" t="s">
        <v>2492</v>
      </c>
      <c r="G319" s="129" t="s">
        <v>2803</v>
      </c>
      <c r="H319" s="126" t="s">
        <v>3030</v>
      </c>
      <c r="I319" s="132" t="s">
        <v>3086</v>
      </c>
      <c r="J319" s="135" t="s">
        <v>3231</v>
      </c>
    </row>
    <row r="320" spans="1:10" ht="31.5" x14ac:dyDescent="0.2">
      <c r="A320">
        <v>317</v>
      </c>
      <c r="B320" s="136" t="s">
        <v>3548</v>
      </c>
      <c r="C320" s="126" t="s">
        <v>1929</v>
      </c>
      <c r="D320" s="126" t="s">
        <v>2304</v>
      </c>
      <c r="F320" s="126" t="s">
        <v>3851</v>
      </c>
      <c r="G320" s="129" t="s">
        <v>2804</v>
      </c>
      <c r="H320" s="126" t="s">
        <v>3031</v>
      </c>
      <c r="I320" s="132" t="s">
        <v>3188</v>
      </c>
      <c r="J320" s="135" t="s">
        <v>3231</v>
      </c>
    </row>
    <row r="321" spans="1:10" ht="31.5" x14ac:dyDescent="0.2">
      <c r="A321">
        <v>318</v>
      </c>
      <c r="B321" s="136" t="s">
        <v>3549</v>
      </c>
      <c r="C321" s="126" t="s">
        <v>1930</v>
      </c>
      <c r="D321" s="126" t="s">
        <v>2305</v>
      </c>
      <c r="F321" s="126" t="s">
        <v>3900</v>
      </c>
      <c r="G321" s="129" t="s">
        <v>2805</v>
      </c>
      <c r="H321" s="126" t="s">
        <v>3032</v>
      </c>
      <c r="I321" s="132" t="s">
        <v>3189</v>
      </c>
      <c r="J321" s="135" t="s">
        <v>3231</v>
      </c>
    </row>
    <row r="322" spans="1:10" ht="15.75" x14ac:dyDescent="0.2">
      <c r="A322">
        <v>319</v>
      </c>
      <c r="B322" s="136" t="s">
        <v>3550</v>
      </c>
      <c r="C322" s="126" t="s">
        <v>1931</v>
      </c>
      <c r="D322" s="126" t="s">
        <v>2306</v>
      </c>
      <c r="F322" s="126" t="s">
        <v>2491</v>
      </c>
      <c r="G322" s="129" t="s">
        <v>2806</v>
      </c>
      <c r="H322" s="126" t="s">
        <v>2995</v>
      </c>
      <c r="I322" s="132" t="s">
        <v>3162</v>
      </c>
      <c r="J322" s="135" t="s">
        <v>3231</v>
      </c>
    </row>
    <row r="323" spans="1:10" ht="63" x14ac:dyDescent="0.2">
      <c r="A323">
        <v>320</v>
      </c>
      <c r="B323" s="136" t="s">
        <v>3551</v>
      </c>
      <c r="C323" s="126" t="s">
        <v>1932</v>
      </c>
      <c r="D323" s="126" t="s">
        <v>2307</v>
      </c>
      <c r="F323" s="126" t="s">
        <v>3863</v>
      </c>
      <c r="G323" s="129" t="s">
        <v>2807</v>
      </c>
      <c r="H323" s="126" t="s">
        <v>3020</v>
      </c>
      <c r="I323" s="133">
        <v>2830000</v>
      </c>
      <c r="J323" s="135" t="s">
        <v>3231</v>
      </c>
    </row>
    <row r="324" spans="1:10" ht="47.25" x14ac:dyDescent="0.2">
      <c r="A324">
        <v>321</v>
      </c>
      <c r="B324" s="136" t="s">
        <v>3552</v>
      </c>
      <c r="C324" s="126" t="s">
        <v>1933</v>
      </c>
      <c r="D324" s="126" t="s">
        <v>2308</v>
      </c>
      <c r="F324" s="126" t="s">
        <v>3900</v>
      </c>
      <c r="G324" s="129" t="s">
        <v>2808</v>
      </c>
      <c r="H324" s="126" t="s">
        <v>3023</v>
      </c>
      <c r="I324" s="132" t="s">
        <v>3140</v>
      </c>
      <c r="J324" s="135" t="s">
        <v>3231</v>
      </c>
    </row>
    <row r="325" spans="1:10" ht="63" x14ac:dyDescent="0.2">
      <c r="A325">
        <v>322</v>
      </c>
      <c r="B325" s="136" t="s">
        <v>3553</v>
      </c>
      <c r="C325" s="127" t="s">
        <v>1934</v>
      </c>
      <c r="D325" s="127" t="s">
        <v>2309</v>
      </c>
      <c r="F325" s="127" t="s">
        <v>3900</v>
      </c>
      <c r="G325" s="131" t="s">
        <v>2809</v>
      </c>
      <c r="H325" s="127" t="s">
        <v>3033</v>
      </c>
      <c r="I325" s="134" t="s">
        <v>3084</v>
      </c>
      <c r="J325" s="135" t="s">
        <v>3231</v>
      </c>
    </row>
    <row r="326" spans="1:10" ht="78.75" x14ac:dyDescent="0.2">
      <c r="A326">
        <v>323</v>
      </c>
      <c r="B326" s="136" t="s">
        <v>3554</v>
      </c>
      <c r="C326" s="127" t="s">
        <v>1935</v>
      </c>
      <c r="D326" s="127" t="s">
        <v>2310</v>
      </c>
      <c r="E326" s="127"/>
      <c r="F326" s="127" t="s">
        <v>2493</v>
      </c>
      <c r="G326" s="131" t="s">
        <v>2810</v>
      </c>
      <c r="H326" s="127" t="s">
        <v>3034</v>
      </c>
      <c r="I326" s="134" t="s">
        <v>3103</v>
      </c>
      <c r="J326" s="135" t="s">
        <v>3231</v>
      </c>
    </row>
    <row r="327" spans="1:10" ht="31.5" x14ac:dyDescent="0.2">
      <c r="A327">
        <v>324</v>
      </c>
      <c r="B327" s="136" t="s">
        <v>3555</v>
      </c>
      <c r="C327" s="126" t="s">
        <v>1936</v>
      </c>
      <c r="D327" s="126" t="s">
        <v>2311</v>
      </c>
      <c r="F327" s="126" t="s">
        <v>3844</v>
      </c>
      <c r="G327" s="129" t="s">
        <v>2811</v>
      </c>
      <c r="H327" s="126" t="s">
        <v>3026</v>
      </c>
      <c r="I327" s="132" t="s">
        <v>3183</v>
      </c>
      <c r="J327" s="135" t="s">
        <v>3231</v>
      </c>
    </row>
    <row r="328" spans="1:10" ht="31.5" x14ac:dyDescent="0.2">
      <c r="A328">
        <v>325</v>
      </c>
      <c r="B328" s="136" t="s">
        <v>3556</v>
      </c>
      <c r="C328" s="127" t="s">
        <v>1937</v>
      </c>
      <c r="D328" s="127" t="s">
        <v>2312</v>
      </c>
      <c r="F328" s="127" t="s">
        <v>3900</v>
      </c>
      <c r="G328" s="131" t="s">
        <v>2812</v>
      </c>
      <c r="H328" s="127" t="s">
        <v>3035</v>
      </c>
      <c r="I328" s="134" t="s">
        <v>3156</v>
      </c>
      <c r="J328" s="135" t="s">
        <v>3231</v>
      </c>
    </row>
    <row r="329" spans="1:10" ht="63" x14ac:dyDescent="0.2">
      <c r="A329">
        <v>326</v>
      </c>
      <c r="B329" s="136" t="s">
        <v>3557</v>
      </c>
      <c r="C329" s="127" t="s">
        <v>1938</v>
      </c>
      <c r="D329" s="127" t="s">
        <v>2313</v>
      </c>
      <c r="F329" s="127" t="s">
        <v>3900</v>
      </c>
      <c r="G329" s="131" t="s">
        <v>2813</v>
      </c>
      <c r="H329" s="127" t="s">
        <v>3033</v>
      </c>
      <c r="I329" s="134" t="s">
        <v>3190</v>
      </c>
      <c r="J329" s="135" t="s">
        <v>3231</v>
      </c>
    </row>
    <row r="330" spans="1:10" ht="47.25" x14ac:dyDescent="0.2">
      <c r="A330">
        <v>327</v>
      </c>
      <c r="B330" s="136" t="s">
        <v>3558</v>
      </c>
      <c r="C330" s="126" t="s">
        <v>1939</v>
      </c>
      <c r="D330" s="126" t="s">
        <v>2314</v>
      </c>
      <c r="F330" s="126" t="s">
        <v>3844</v>
      </c>
      <c r="G330" s="129" t="s">
        <v>2814</v>
      </c>
      <c r="H330" s="126" t="s">
        <v>3026</v>
      </c>
      <c r="I330" s="132" t="s">
        <v>3191</v>
      </c>
      <c r="J330" s="135" t="s">
        <v>3231</v>
      </c>
    </row>
    <row r="331" spans="1:10" ht="47.25" x14ac:dyDescent="0.2">
      <c r="A331">
        <v>328</v>
      </c>
      <c r="B331" s="136" t="s">
        <v>3559</v>
      </c>
      <c r="C331" s="126" t="s">
        <v>1940</v>
      </c>
      <c r="D331" s="126" t="s">
        <v>2315</v>
      </c>
      <c r="F331" s="126" t="s">
        <v>3844</v>
      </c>
      <c r="G331" s="130" t="s">
        <v>2815</v>
      </c>
      <c r="H331" s="126" t="s">
        <v>3026</v>
      </c>
      <c r="I331" s="133">
        <v>320000</v>
      </c>
      <c r="J331" s="135" t="s">
        <v>3231</v>
      </c>
    </row>
    <row r="332" spans="1:10" ht="63" x14ac:dyDescent="0.2">
      <c r="A332">
        <v>329</v>
      </c>
      <c r="B332" s="136" t="s">
        <v>3560</v>
      </c>
      <c r="C332" s="127" t="s">
        <v>1941</v>
      </c>
      <c r="D332" s="127" t="s">
        <v>2316</v>
      </c>
      <c r="F332" s="127" t="s">
        <v>3900</v>
      </c>
      <c r="G332" s="131" t="s">
        <v>2816</v>
      </c>
      <c r="H332" s="127" t="s">
        <v>3036</v>
      </c>
      <c r="I332" s="134" t="s">
        <v>3076</v>
      </c>
      <c r="J332" s="135" t="s">
        <v>3231</v>
      </c>
    </row>
    <row r="333" spans="1:10" ht="141.75" x14ac:dyDescent="0.2">
      <c r="A333">
        <v>330</v>
      </c>
      <c r="B333" s="136" t="s">
        <v>3561</v>
      </c>
      <c r="C333" s="126" t="s">
        <v>1942</v>
      </c>
      <c r="D333" s="126" t="s">
        <v>2311</v>
      </c>
      <c r="F333" s="126" t="s">
        <v>3900</v>
      </c>
      <c r="G333" s="129" t="s">
        <v>2817</v>
      </c>
      <c r="H333" s="126" t="s">
        <v>3026</v>
      </c>
      <c r="I333" s="133">
        <v>520000</v>
      </c>
      <c r="J333" s="135" t="s">
        <v>3231</v>
      </c>
    </row>
    <row r="334" spans="1:10" ht="31.5" x14ac:dyDescent="0.2">
      <c r="A334">
        <v>331</v>
      </c>
      <c r="B334" s="136" t="s">
        <v>3562</v>
      </c>
      <c r="C334" s="126" t="s">
        <v>1943</v>
      </c>
      <c r="D334" s="126" t="s">
        <v>2293</v>
      </c>
      <c r="F334" s="126" t="s">
        <v>3900</v>
      </c>
      <c r="G334" s="129" t="s">
        <v>2818</v>
      </c>
      <c r="H334" s="126" t="s">
        <v>3023</v>
      </c>
      <c r="I334" s="132" t="s">
        <v>3192</v>
      </c>
      <c r="J334" s="135" t="s">
        <v>3231</v>
      </c>
    </row>
    <row r="335" spans="1:10" ht="31.5" x14ac:dyDescent="0.2">
      <c r="A335">
        <v>332</v>
      </c>
      <c r="B335" s="136" t="s">
        <v>3563</v>
      </c>
      <c r="C335" s="126" t="s">
        <v>1944</v>
      </c>
      <c r="D335" s="126" t="s">
        <v>2317</v>
      </c>
      <c r="E335" s="126"/>
      <c r="F335" s="126" t="s">
        <v>2494</v>
      </c>
      <c r="G335" s="129" t="s">
        <v>2811</v>
      </c>
      <c r="H335" s="126" t="s">
        <v>3026</v>
      </c>
      <c r="I335" s="132" t="s">
        <v>3116</v>
      </c>
      <c r="J335" s="135" t="s">
        <v>3231</v>
      </c>
    </row>
    <row r="336" spans="1:10" ht="157.5" x14ac:dyDescent="0.2">
      <c r="A336">
        <v>333</v>
      </c>
      <c r="B336" s="136" t="s">
        <v>3564</v>
      </c>
      <c r="C336" s="126" t="s">
        <v>1944</v>
      </c>
      <c r="D336" s="126" t="s">
        <v>2318</v>
      </c>
      <c r="F336" s="126" t="s">
        <v>3900</v>
      </c>
      <c r="G336" s="130" t="s">
        <v>2819</v>
      </c>
      <c r="H336" s="126" t="s">
        <v>3026</v>
      </c>
      <c r="I336" s="132" t="s">
        <v>3193</v>
      </c>
      <c r="J336" s="135" t="s">
        <v>3231</v>
      </c>
    </row>
    <row r="337" spans="1:10" ht="47.25" x14ac:dyDescent="0.2">
      <c r="A337">
        <v>334</v>
      </c>
      <c r="B337" s="136" t="s">
        <v>3565</v>
      </c>
      <c r="C337" s="128" t="s">
        <v>1945</v>
      </c>
      <c r="D337" s="126" t="s">
        <v>2319</v>
      </c>
      <c r="E337" s="126"/>
      <c r="F337" s="126" t="s">
        <v>2495</v>
      </c>
      <c r="G337" s="129" t="s">
        <v>2820</v>
      </c>
      <c r="H337" s="126" t="s">
        <v>444</v>
      </c>
      <c r="I337" s="133">
        <v>400000</v>
      </c>
      <c r="J337" s="135" t="s">
        <v>3231</v>
      </c>
    </row>
    <row r="338" spans="1:10" ht="33" x14ac:dyDescent="0.2">
      <c r="A338">
        <v>335</v>
      </c>
      <c r="B338" s="136" t="s">
        <v>3566</v>
      </c>
      <c r="C338" s="128" t="s">
        <v>1945</v>
      </c>
      <c r="D338" s="126" t="s">
        <v>2320</v>
      </c>
      <c r="E338" s="126"/>
      <c r="F338" s="126" t="s">
        <v>2495</v>
      </c>
      <c r="G338" s="129" t="s">
        <v>2798</v>
      </c>
      <c r="H338" s="126" t="s">
        <v>3037</v>
      </c>
      <c r="I338" s="132" t="s">
        <v>3194</v>
      </c>
      <c r="J338" s="135" t="s">
        <v>3231</v>
      </c>
    </row>
    <row r="339" spans="1:10" ht="47.25" x14ac:dyDescent="0.2">
      <c r="A339">
        <v>336</v>
      </c>
      <c r="B339" s="136" t="s">
        <v>3567</v>
      </c>
      <c r="C339" s="128" t="s">
        <v>1945</v>
      </c>
      <c r="D339" s="126" t="s">
        <v>2321</v>
      </c>
      <c r="F339" s="126" t="s">
        <v>3844</v>
      </c>
      <c r="G339" s="129" t="s">
        <v>2821</v>
      </c>
      <c r="H339" s="126" t="s">
        <v>3038</v>
      </c>
      <c r="I339" s="132" t="s">
        <v>3195</v>
      </c>
      <c r="J339" s="135" t="s">
        <v>3231</v>
      </c>
    </row>
    <row r="340" spans="1:10" ht="31.5" x14ac:dyDescent="0.2">
      <c r="A340">
        <v>337</v>
      </c>
      <c r="B340" s="136" t="s">
        <v>3568</v>
      </c>
      <c r="C340" s="127" t="s">
        <v>1946</v>
      </c>
      <c r="D340" s="127" t="s">
        <v>2322</v>
      </c>
      <c r="E340" s="127"/>
      <c r="F340" s="127" t="s">
        <v>3844</v>
      </c>
      <c r="G340" s="131" t="s">
        <v>2822</v>
      </c>
      <c r="H340" s="127" t="s">
        <v>3026</v>
      </c>
      <c r="I340" s="134" t="s">
        <v>3196</v>
      </c>
      <c r="J340" s="135" t="s">
        <v>3231</v>
      </c>
    </row>
    <row r="341" spans="1:10" ht="252" x14ac:dyDescent="0.2">
      <c r="A341">
        <v>338</v>
      </c>
      <c r="B341" s="136" t="s">
        <v>3569</v>
      </c>
      <c r="C341" s="126" t="s">
        <v>1947</v>
      </c>
      <c r="D341" s="126" t="s">
        <v>2323</v>
      </c>
      <c r="F341" s="126" t="s">
        <v>3900</v>
      </c>
      <c r="G341" s="129" t="s">
        <v>2823</v>
      </c>
      <c r="H341" s="126" t="s">
        <v>3039</v>
      </c>
      <c r="I341" s="133">
        <v>4300000</v>
      </c>
      <c r="J341" s="135" t="s">
        <v>3231</v>
      </c>
    </row>
    <row r="342" spans="1:10" ht="15.75" x14ac:dyDescent="0.2">
      <c r="A342">
        <v>339</v>
      </c>
      <c r="B342" s="136" t="s">
        <v>3570</v>
      </c>
      <c r="C342" s="126" t="s">
        <v>1948</v>
      </c>
      <c r="D342" s="126" t="s">
        <v>2324</v>
      </c>
      <c r="F342" s="126" t="s">
        <v>3900</v>
      </c>
      <c r="G342" s="129" t="s">
        <v>2824</v>
      </c>
      <c r="H342" s="126" t="s">
        <v>3029</v>
      </c>
      <c r="I342" s="133">
        <v>820000</v>
      </c>
      <c r="J342" s="135" t="s">
        <v>3231</v>
      </c>
    </row>
    <row r="343" spans="1:10" ht="31.5" x14ac:dyDescent="0.2">
      <c r="A343">
        <v>340</v>
      </c>
      <c r="B343" s="136" t="s">
        <v>3571</v>
      </c>
      <c r="C343" s="126" t="s">
        <v>1949</v>
      </c>
      <c r="D343" s="126" t="s">
        <v>2325</v>
      </c>
      <c r="E343" s="126"/>
      <c r="F343" s="126" t="s">
        <v>2496</v>
      </c>
      <c r="G343" s="129" t="s">
        <v>2825</v>
      </c>
      <c r="H343" s="126" t="s">
        <v>3020</v>
      </c>
      <c r="I343" s="132" t="s">
        <v>3194</v>
      </c>
      <c r="J343" s="135" t="s">
        <v>3231</v>
      </c>
    </row>
    <row r="344" spans="1:10" ht="94.5" x14ac:dyDescent="0.2">
      <c r="A344">
        <v>341</v>
      </c>
      <c r="B344" s="136" t="s">
        <v>3572</v>
      </c>
      <c r="C344" s="126" t="s">
        <v>1950</v>
      </c>
      <c r="D344" s="126" t="s">
        <v>2326</v>
      </c>
      <c r="E344" s="126"/>
      <c r="F344" s="126" t="s">
        <v>2497</v>
      </c>
      <c r="G344" s="129" t="s">
        <v>2826</v>
      </c>
      <c r="H344" s="126" t="s">
        <v>3004</v>
      </c>
      <c r="I344" s="132" t="s">
        <v>3197</v>
      </c>
      <c r="J344" s="135" t="s">
        <v>3231</v>
      </c>
    </row>
    <row r="345" spans="1:10" ht="47.25" x14ac:dyDescent="0.2">
      <c r="A345">
        <v>342</v>
      </c>
      <c r="B345" s="136" t="s">
        <v>3573</v>
      </c>
      <c r="C345" s="126" t="s">
        <v>1951</v>
      </c>
      <c r="D345" s="126" t="s">
        <v>2327</v>
      </c>
      <c r="F345" s="126" t="s">
        <v>3844</v>
      </c>
      <c r="G345" s="129" t="s">
        <v>2827</v>
      </c>
      <c r="H345" s="126" t="s">
        <v>3029</v>
      </c>
      <c r="I345" s="133">
        <v>1050000</v>
      </c>
      <c r="J345" s="135" t="s">
        <v>3231</v>
      </c>
    </row>
    <row r="346" spans="1:10" ht="173.25" x14ac:dyDescent="0.2">
      <c r="A346">
        <v>343</v>
      </c>
      <c r="B346" s="136" t="s">
        <v>3574</v>
      </c>
      <c r="C346" s="126" t="s">
        <v>1952</v>
      </c>
      <c r="D346" s="126" t="s">
        <v>2328</v>
      </c>
      <c r="F346" s="126" t="s">
        <v>2498</v>
      </c>
      <c r="G346" s="129" t="s">
        <v>2828</v>
      </c>
      <c r="H346" s="126" t="s">
        <v>2990</v>
      </c>
      <c r="I346" s="132" t="s">
        <v>3140</v>
      </c>
      <c r="J346" s="135" t="s">
        <v>3230</v>
      </c>
    </row>
    <row r="347" spans="1:10" ht="31.5" x14ac:dyDescent="0.2">
      <c r="A347">
        <v>344</v>
      </c>
      <c r="B347" s="136" t="s">
        <v>3575</v>
      </c>
      <c r="C347" s="126" t="s">
        <v>1953</v>
      </c>
      <c r="D347" s="126" t="s">
        <v>518</v>
      </c>
      <c r="E347" s="126"/>
      <c r="F347" s="126" t="s">
        <v>2499</v>
      </c>
      <c r="G347" s="129" t="s">
        <v>2829</v>
      </c>
      <c r="H347" s="126" t="s">
        <v>2996</v>
      </c>
      <c r="I347" s="132" t="s">
        <v>3198</v>
      </c>
      <c r="J347" s="135" t="s">
        <v>3231</v>
      </c>
    </row>
    <row r="348" spans="1:10" ht="31.5" x14ac:dyDescent="0.2">
      <c r="A348">
        <v>345</v>
      </c>
      <c r="B348" s="136" t="s">
        <v>3576</v>
      </c>
      <c r="C348" s="126" t="s">
        <v>1954</v>
      </c>
      <c r="D348" s="126" t="s">
        <v>2329</v>
      </c>
      <c r="E348" s="126"/>
      <c r="F348" s="126" t="s">
        <v>2492</v>
      </c>
      <c r="G348" s="129" t="s">
        <v>2830</v>
      </c>
      <c r="H348" s="126" t="s">
        <v>3030</v>
      </c>
      <c r="I348" s="132" t="s">
        <v>3199</v>
      </c>
      <c r="J348" s="135" t="s">
        <v>3231</v>
      </c>
    </row>
    <row r="349" spans="1:10" ht="31.5" x14ac:dyDescent="0.2">
      <c r="A349">
        <v>346</v>
      </c>
      <c r="B349" s="136" t="s">
        <v>3577</v>
      </c>
      <c r="C349" s="126" t="s">
        <v>1955</v>
      </c>
      <c r="D349" s="126" t="s">
        <v>2330</v>
      </c>
      <c r="F349" s="126" t="s">
        <v>3900</v>
      </c>
      <c r="G349" s="129" t="s">
        <v>2831</v>
      </c>
      <c r="H349" s="126" t="s">
        <v>3031</v>
      </c>
      <c r="I349" s="132" t="s">
        <v>3147</v>
      </c>
      <c r="J349" s="135" t="s">
        <v>3231</v>
      </c>
    </row>
    <row r="350" spans="1:10" ht="94.5" x14ac:dyDescent="0.2">
      <c r="A350">
        <v>347</v>
      </c>
      <c r="B350" s="136" t="s">
        <v>3578</v>
      </c>
      <c r="C350" s="126" t="s">
        <v>1956</v>
      </c>
      <c r="D350" s="126" t="s">
        <v>2331</v>
      </c>
      <c r="F350" s="126" t="s">
        <v>3900</v>
      </c>
      <c r="G350" s="129" t="s">
        <v>2832</v>
      </c>
      <c r="H350" s="126" t="s">
        <v>3031</v>
      </c>
      <c r="I350" s="133">
        <v>8313000</v>
      </c>
      <c r="J350" s="135" t="s">
        <v>3231</v>
      </c>
    </row>
    <row r="351" spans="1:10" ht="47.25" x14ac:dyDescent="0.2">
      <c r="A351">
        <v>348</v>
      </c>
      <c r="B351" s="136" t="s">
        <v>3579</v>
      </c>
      <c r="C351" s="127" t="s">
        <v>1957</v>
      </c>
      <c r="D351" s="127" t="s">
        <v>2332</v>
      </c>
      <c r="F351" s="127" t="s">
        <v>3900</v>
      </c>
      <c r="G351" s="131" t="s">
        <v>2833</v>
      </c>
      <c r="H351" s="127" t="s">
        <v>3023</v>
      </c>
      <c r="I351" s="134" t="s">
        <v>3200</v>
      </c>
      <c r="J351" s="135" t="s">
        <v>3231</v>
      </c>
    </row>
    <row r="352" spans="1:10" ht="31.5" x14ac:dyDescent="0.2">
      <c r="A352">
        <v>349</v>
      </c>
      <c r="B352" s="136" t="s">
        <v>3580</v>
      </c>
      <c r="C352" s="126" t="s">
        <v>1958</v>
      </c>
      <c r="D352" s="126" t="s">
        <v>2333</v>
      </c>
      <c r="F352" s="126" t="s">
        <v>3900</v>
      </c>
      <c r="G352" s="129" t="s">
        <v>2834</v>
      </c>
      <c r="H352" s="126" t="s">
        <v>3040</v>
      </c>
      <c r="I352" s="132" t="s">
        <v>3086</v>
      </c>
      <c r="J352" s="135" t="s">
        <v>3231</v>
      </c>
    </row>
    <row r="353" spans="1:10" ht="31.5" x14ac:dyDescent="0.2">
      <c r="A353">
        <v>350</v>
      </c>
      <c r="B353" s="136" t="s">
        <v>3581</v>
      </c>
      <c r="C353" s="126" t="s">
        <v>1959</v>
      </c>
      <c r="D353" s="126" t="s">
        <v>2334</v>
      </c>
      <c r="F353" s="126" t="s">
        <v>3862</v>
      </c>
      <c r="G353" s="129" t="s">
        <v>2798</v>
      </c>
      <c r="H353" s="126" t="s">
        <v>2995</v>
      </c>
      <c r="I353" s="132" t="s">
        <v>3201</v>
      </c>
      <c r="J353" s="135" t="s">
        <v>3231</v>
      </c>
    </row>
    <row r="354" spans="1:10" ht="31.5" x14ac:dyDescent="0.2">
      <c r="A354">
        <v>351</v>
      </c>
      <c r="B354" s="136" t="s">
        <v>3582</v>
      </c>
      <c r="C354" s="126" t="s">
        <v>1960</v>
      </c>
      <c r="D354" s="126" t="s">
        <v>2335</v>
      </c>
      <c r="F354" s="126" t="s">
        <v>3900</v>
      </c>
      <c r="G354" s="129" t="s">
        <v>2835</v>
      </c>
      <c r="H354" s="126" t="s">
        <v>3041</v>
      </c>
      <c r="I354" s="132" t="s">
        <v>3198</v>
      </c>
      <c r="J354" s="135" t="s">
        <v>3231</v>
      </c>
    </row>
    <row r="355" spans="1:10" ht="126" x14ac:dyDescent="0.2">
      <c r="A355">
        <v>352</v>
      </c>
      <c r="B355" s="136" t="s">
        <v>3583</v>
      </c>
      <c r="C355" s="126" t="s">
        <v>1961</v>
      </c>
      <c r="D355" s="126" t="s">
        <v>518</v>
      </c>
      <c r="F355" s="126" t="s">
        <v>2476</v>
      </c>
      <c r="G355" s="129" t="s">
        <v>2836</v>
      </c>
      <c r="H355" s="126" t="s">
        <v>3023</v>
      </c>
      <c r="I355" s="132" t="s">
        <v>3104</v>
      </c>
      <c r="J355" s="135" t="s">
        <v>3231</v>
      </c>
    </row>
    <row r="356" spans="1:10" ht="47.25" x14ac:dyDescent="0.2">
      <c r="A356">
        <v>353</v>
      </c>
      <c r="B356" s="136" t="s">
        <v>3584</v>
      </c>
      <c r="C356" s="126" t="s">
        <v>1962</v>
      </c>
      <c r="D356" s="126" t="s">
        <v>2336</v>
      </c>
      <c r="F356" s="126" t="s">
        <v>3900</v>
      </c>
      <c r="G356" s="129" t="s">
        <v>2837</v>
      </c>
      <c r="H356" s="126" t="s">
        <v>3042</v>
      </c>
      <c r="I356" s="132" t="s">
        <v>3202</v>
      </c>
      <c r="J356" s="135" t="s">
        <v>3231</v>
      </c>
    </row>
    <row r="357" spans="1:10" ht="47.25" x14ac:dyDescent="0.2">
      <c r="A357">
        <v>354</v>
      </c>
      <c r="B357" s="136" t="s">
        <v>3585</v>
      </c>
      <c r="C357" s="126" t="s">
        <v>1963</v>
      </c>
      <c r="D357" s="126" t="s">
        <v>2337</v>
      </c>
      <c r="F357" s="126" t="s">
        <v>3900</v>
      </c>
      <c r="G357" s="129" t="s">
        <v>2838</v>
      </c>
      <c r="H357" s="126" t="s">
        <v>3042</v>
      </c>
      <c r="I357" s="132" t="s">
        <v>3203</v>
      </c>
      <c r="J357" s="135" t="s">
        <v>3231</v>
      </c>
    </row>
    <row r="358" spans="1:10" ht="126" x14ac:dyDescent="0.2">
      <c r="A358">
        <v>355</v>
      </c>
      <c r="B358" s="136" t="s">
        <v>3586</v>
      </c>
      <c r="C358" s="126" t="s">
        <v>1964</v>
      </c>
      <c r="D358" s="126" t="s">
        <v>2338</v>
      </c>
      <c r="F358" s="126" t="s">
        <v>3900</v>
      </c>
      <c r="G358" s="129" t="s">
        <v>2839</v>
      </c>
      <c r="H358" s="126" t="s">
        <v>3026</v>
      </c>
      <c r="I358" s="133">
        <v>350000</v>
      </c>
      <c r="J358" s="135" t="s">
        <v>3231</v>
      </c>
    </row>
    <row r="359" spans="1:10" ht="47.25" x14ac:dyDescent="0.2">
      <c r="A359">
        <v>356</v>
      </c>
      <c r="B359" s="136" t="s">
        <v>3587</v>
      </c>
      <c r="C359" s="126" t="s">
        <v>1965</v>
      </c>
      <c r="D359" s="126" t="s">
        <v>2339</v>
      </c>
      <c r="F359" s="126" t="s">
        <v>2491</v>
      </c>
      <c r="G359" s="129" t="s">
        <v>2840</v>
      </c>
      <c r="H359" s="126" t="s">
        <v>3026</v>
      </c>
      <c r="I359" s="133">
        <v>390000</v>
      </c>
      <c r="J359" s="135" t="s">
        <v>3231</v>
      </c>
    </row>
    <row r="360" spans="1:10" ht="141.75" x14ac:dyDescent="0.2">
      <c r="A360">
        <v>357</v>
      </c>
      <c r="B360" s="136" t="s">
        <v>3588</v>
      </c>
      <c r="C360" s="126" t="s">
        <v>1966</v>
      </c>
      <c r="D360" s="126" t="s">
        <v>2340</v>
      </c>
      <c r="F360" s="126" t="s">
        <v>3900</v>
      </c>
      <c r="G360" s="129" t="s">
        <v>2841</v>
      </c>
      <c r="H360" s="126" t="s">
        <v>3026</v>
      </c>
      <c r="I360" s="133">
        <v>450000</v>
      </c>
      <c r="J360" s="135" t="s">
        <v>3231</v>
      </c>
    </row>
    <row r="361" spans="1:10" ht="31.5" x14ac:dyDescent="0.2">
      <c r="A361">
        <v>358</v>
      </c>
      <c r="B361" s="136" t="s">
        <v>3589</v>
      </c>
      <c r="C361" s="126" t="s">
        <v>1967</v>
      </c>
      <c r="D361" s="126" t="s">
        <v>518</v>
      </c>
      <c r="F361" s="126" t="s">
        <v>3900</v>
      </c>
      <c r="G361" s="129" t="s">
        <v>2842</v>
      </c>
      <c r="H361" s="126" t="s">
        <v>3042</v>
      </c>
      <c r="I361" s="132" t="s">
        <v>3171</v>
      </c>
      <c r="J361" s="135" t="s">
        <v>3231</v>
      </c>
    </row>
    <row r="362" spans="1:10" ht="31.5" x14ac:dyDescent="0.2">
      <c r="A362">
        <v>359</v>
      </c>
      <c r="B362" s="136" t="s">
        <v>3590</v>
      </c>
      <c r="C362" s="126" t="s">
        <v>1968</v>
      </c>
      <c r="D362" s="126" t="s">
        <v>518</v>
      </c>
      <c r="E362" s="126"/>
      <c r="F362" s="126" t="s">
        <v>2500</v>
      </c>
      <c r="G362" s="129" t="s">
        <v>2843</v>
      </c>
      <c r="H362" s="126" t="s">
        <v>3007</v>
      </c>
      <c r="I362" s="132" t="s">
        <v>3204</v>
      </c>
      <c r="J362" s="135" t="s">
        <v>3231</v>
      </c>
    </row>
    <row r="363" spans="1:10" ht="31.5" x14ac:dyDescent="0.2">
      <c r="A363">
        <v>360</v>
      </c>
      <c r="B363" s="136" t="s">
        <v>3591</v>
      </c>
      <c r="C363" s="126" t="s">
        <v>1969</v>
      </c>
      <c r="D363" s="126" t="s">
        <v>2341</v>
      </c>
      <c r="E363" s="126"/>
      <c r="F363" s="126" t="s">
        <v>2500</v>
      </c>
      <c r="G363" s="129" t="s">
        <v>2843</v>
      </c>
      <c r="H363" s="126" t="s">
        <v>3007</v>
      </c>
      <c r="I363" s="132" t="s">
        <v>3205</v>
      </c>
      <c r="J363" s="135" t="s">
        <v>3231</v>
      </c>
    </row>
    <row r="364" spans="1:10" ht="31.5" x14ac:dyDescent="0.2">
      <c r="A364">
        <v>361</v>
      </c>
      <c r="B364" s="136" t="s">
        <v>3592</v>
      </c>
      <c r="C364" s="126" t="s">
        <v>1970</v>
      </c>
      <c r="D364" s="126" t="s">
        <v>2342</v>
      </c>
      <c r="E364" s="126"/>
      <c r="F364" s="126" t="s">
        <v>2500</v>
      </c>
      <c r="G364" s="129" t="s">
        <v>2844</v>
      </c>
      <c r="H364" s="126" t="s">
        <v>3043</v>
      </c>
      <c r="I364" s="132" t="s">
        <v>3156</v>
      </c>
      <c r="J364" s="135" t="s">
        <v>3231</v>
      </c>
    </row>
    <row r="365" spans="1:10" ht="31.5" x14ac:dyDescent="0.2">
      <c r="A365">
        <v>362</v>
      </c>
      <c r="B365" s="136" t="s">
        <v>3593</v>
      </c>
      <c r="C365" s="126" t="s">
        <v>1971</v>
      </c>
      <c r="D365" s="126" t="s">
        <v>2343</v>
      </c>
      <c r="F365" s="126" t="s">
        <v>3853</v>
      </c>
      <c r="G365" s="129" t="s">
        <v>2845</v>
      </c>
      <c r="H365" s="126" t="s">
        <v>3044</v>
      </c>
      <c r="I365" s="132" t="s">
        <v>3159</v>
      </c>
      <c r="J365" s="135" t="s">
        <v>3231</v>
      </c>
    </row>
    <row r="366" spans="1:10" ht="31.5" x14ac:dyDescent="0.2">
      <c r="A366">
        <v>363</v>
      </c>
      <c r="B366" s="136" t="s">
        <v>3594</v>
      </c>
      <c r="C366" s="126" t="s">
        <v>1972</v>
      </c>
      <c r="D366" s="126" t="s">
        <v>518</v>
      </c>
      <c r="E366" s="126"/>
      <c r="F366" s="126" t="s">
        <v>2500</v>
      </c>
      <c r="G366" s="129" t="s">
        <v>2843</v>
      </c>
      <c r="H366" s="126" t="s">
        <v>3007</v>
      </c>
      <c r="I366" s="132" t="s">
        <v>3124</v>
      </c>
      <c r="J366" s="135" t="s">
        <v>3231</v>
      </c>
    </row>
    <row r="367" spans="1:10" ht="31.5" x14ac:dyDescent="0.2">
      <c r="A367">
        <v>364</v>
      </c>
      <c r="B367" s="136" t="s">
        <v>3595</v>
      </c>
      <c r="C367" s="126" t="s">
        <v>1973</v>
      </c>
      <c r="D367" s="126" t="s">
        <v>518</v>
      </c>
      <c r="E367" s="126"/>
      <c r="F367" s="126" t="s">
        <v>2500</v>
      </c>
      <c r="G367" s="129" t="s">
        <v>2843</v>
      </c>
      <c r="H367" s="126" t="s">
        <v>3007</v>
      </c>
      <c r="I367" s="132" t="s">
        <v>3101</v>
      </c>
      <c r="J367" s="135" t="s">
        <v>3231</v>
      </c>
    </row>
    <row r="368" spans="1:10" ht="47.25" x14ac:dyDescent="0.2">
      <c r="A368">
        <v>365</v>
      </c>
      <c r="B368" s="136" t="s">
        <v>3596</v>
      </c>
      <c r="C368" s="126" t="s">
        <v>1974</v>
      </c>
      <c r="D368" s="126" t="s">
        <v>2344</v>
      </c>
      <c r="F368" s="126" t="s">
        <v>3853</v>
      </c>
      <c r="G368" s="129" t="s">
        <v>2846</v>
      </c>
      <c r="H368" s="126" t="s">
        <v>3044</v>
      </c>
      <c r="I368" s="132" t="s">
        <v>3169</v>
      </c>
      <c r="J368" s="135" t="s">
        <v>3231</v>
      </c>
    </row>
    <row r="369" spans="1:10" ht="31.5" x14ac:dyDescent="0.2">
      <c r="A369">
        <v>366</v>
      </c>
      <c r="B369" s="136" t="s">
        <v>3597</v>
      </c>
      <c r="C369" s="126" t="s">
        <v>1975</v>
      </c>
      <c r="D369" s="126" t="s">
        <v>2345</v>
      </c>
      <c r="F369" s="126" t="s">
        <v>3900</v>
      </c>
      <c r="G369" s="129" t="s">
        <v>2847</v>
      </c>
      <c r="H369" s="126" t="s">
        <v>3045</v>
      </c>
      <c r="I369" s="132" t="s">
        <v>3134</v>
      </c>
      <c r="J369" s="135" t="s">
        <v>3231</v>
      </c>
    </row>
    <row r="370" spans="1:10" ht="47.25" x14ac:dyDescent="0.2">
      <c r="A370">
        <v>367</v>
      </c>
      <c r="B370" s="136" t="s">
        <v>3598</v>
      </c>
      <c r="C370" s="126" t="s">
        <v>1976</v>
      </c>
      <c r="D370" s="126" t="s">
        <v>2346</v>
      </c>
      <c r="E370" s="126"/>
      <c r="F370" s="126" t="s">
        <v>2500</v>
      </c>
      <c r="G370" s="129" t="s">
        <v>2848</v>
      </c>
      <c r="H370" s="126" t="s">
        <v>3043</v>
      </c>
      <c r="I370" s="132" t="s">
        <v>3156</v>
      </c>
      <c r="J370" s="135" t="s">
        <v>3231</v>
      </c>
    </row>
    <row r="371" spans="1:10" ht="31.5" x14ac:dyDescent="0.2">
      <c r="A371">
        <v>368</v>
      </c>
      <c r="B371" s="136" t="s">
        <v>3599</v>
      </c>
      <c r="C371" s="126" t="s">
        <v>1977</v>
      </c>
      <c r="D371" s="126" t="s">
        <v>2347</v>
      </c>
      <c r="F371" s="126" t="s">
        <v>3900</v>
      </c>
      <c r="G371" s="129" t="s">
        <v>2849</v>
      </c>
      <c r="H371" s="126" t="s">
        <v>3045</v>
      </c>
      <c r="I371" s="132" t="s">
        <v>3202</v>
      </c>
      <c r="J371" s="135" t="s">
        <v>3231</v>
      </c>
    </row>
    <row r="372" spans="1:10" ht="31.5" x14ac:dyDescent="0.2">
      <c r="A372">
        <v>369</v>
      </c>
      <c r="B372" s="136" t="s">
        <v>3600</v>
      </c>
      <c r="C372" s="126" t="s">
        <v>1978</v>
      </c>
      <c r="D372" s="126" t="s">
        <v>518</v>
      </c>
      <c r="E372" s="126"/>
      <c r="F372" s="126" t="s">
        <v>2500</v>
      </c>
      <c r="G372" s="129" t="s">
        <v>2850</v>
      </c>
      <c r="H372" s="126" t="s">
        <v>3043</v>
      </c>
      <c r="I372" s="132" t="s">
        <v>3202</v>
      </c>
      <c r="J372" s="135" t="s">
        <v>3231</v>
      </c>
    </row>
    <row r="373" spans="1:10" ht="141.75" x14ac:dyDescent="0.2">
      <c r="A373">
        <v>370</v>
      </c>
      <c r="B373" s="136" t="s">
        <v>3601</v>
      </c>
      <c r="C373" s="126" t="s">
        <v>1979</v>
      </c>
      <c r="D373" s="126" t="s">
        <v>2348</v>
      </c>
      <c r="F373" s="126" t="s">
        <v>2501</v>
      </c>
      <c r="G373" s="129" t="s">
        <v>2851</v>
      </c>
      <c r="H373" s="126" t="s">
        <v>2990</v>
      </c>
      <c r="I373" s="132" t="s">
        <v>3206</v>
      </c>
      <c r="J373" s="135" t="s">
        <v>3231</v>
      </c>
    </row>
    <row r="374" spans="1:10" ht="78.75" x14ac:dyDescent="0.2">
      <c r="A374">
        <v>371</v>
      </c>
      <c r="B374" s="136" t="s">
        <v>3602</v>
      </c>
      <c r="C374" s="127" t="s">
        <v>1980</v>
      </c>
      <c r="D374" s="127" t="s">
        <v>2349</v>
      </c>
      <c r="F374" s="127" t="s">
        <v>3900</v>
      </c>
      <c r="G374" s="131" t="s">
        <v>2852</v>
      </c>
      <c r="H374" s="127" t="s">
        <v>3046</v>
      </c>
      <c r="I374" s="134" t="s">
        <v>3207</v>
      </c>
      <c r="J374" s="135" t="s">
        <v>3231</v>
      </c>
    </row>
    <row r="375" spans="1:10" ht="47.25" x14ac:dyDescent="0.2">
      <c r="A375">
        <v>372</v>
      </c>
      <c r="B375" s="136" t="s">
        <v>3603</v>
      </c>
      <c r="C375" s="126" t="s">
        <v>1981</v>
      </c>
      <c r="D375" s="126" t="s">
        <v>2350</v>
      </c>
      <c r="F375" s="126" t="s">
        <v>3900</v>
      </c>
      <c r="G375" s="129" t="s">
        <v>2853</v>
      </c>
      <c r="H375" s="126" t="s">
        <v>3020</v>
      </c>
      <c r="I375" s="133">
        <v>4800000</v>
      </c>
      <c r="J375" s="135" t="s">
        <v>3231</v>
      </c>
    </row>
    <row r="376" spans="1:10" ht="94.5" x14ac:dyDescent="0.2">
      <c r="A376">
        <v>373</v>
      </c>
      <c r="B376" s="136" t="s">
        <v>3604</v>
      </c>
      <c r="C376" s="126" t="s">
        <v>1982</v>
      </c>
      <c r="D376" s="126" t="s">
        <v>2200</v>
      </c>
      <c r="F376" s="126" t="s">
        <v>3882</v>
      </c>
      <c r="G376" s="129" t="s">
        <v>2854</v>
      </c>
      <c r="H376" s="126" t="s">
        <v>2987</v>
      </c>
      <c r="I376" s="132" t="s">
        <v>3208</v>
      </c>
      <c r="J376" s="135" t="s">
        <v>3231</v>
      </c>
    </row>
    <row r="377" spans="1:10" ht="63" x14ac:dyDescent="0.2">
      <c r="A377">
        <v>374</v>
      </c>
      <c r="B377" s="136" t="s">
        <v>3605</v>
      </c>
      <c r="C377" s="126" t="s">
        <v>1983</v>
      </c>
      <c r="D377" s="126" t="s">
        <v>2351</v>
      </c>
      <c r="F377" s="126" t="s">
        <v>2471</v>
      </c>
      <c r="G377" s="129" t="s">
        <v>2855</v>
      </c>
      <c r="H377" s="126" t="s">
        <v>444</v>
      </c>
      <c r="I377" s="133">
        <v>250000</v>
      </c>
      <c r="J377" s="135" t="s">
        <v>3231</v>
      </c>
    </row>
    <row r="378" spans="1:10" ht="31.5" x14ac:dyDescent="0.2">
      <c r="A378">
        <v>375</v>
      </c>
      <c r="B378" s="136" t="s">
        <v>3606</v>
      </c>
      <c r="C378" s="126" t="s">
        <v>1984</v>
      </c>
      <c r="D378" s="126" t="s">
        <v>518</v>
      </c>
      <c r="F378" s="126" t="s">
        <v>2471</v>
      </c>
      <c r="G378" s="129" t="s">
        <v>2856</v>
      </c>
      <c r="H378" s="126" t="s">
        <v>444</v>
      </c>
      <c r="I378" s="133">
        <v>150000</v>
      </c>
      <c r="J378" s="135" t="s">
        <v>3231</v>
      </c>
    </row>
    <row r="379" spans="1:10" ht="63" x14ac:dyDescent="0.2">
      <c r="A379">
        <v>376</v>
      </c>
      <c r="B379" s="136" t="s">
        <v>3607</v>
      </c>
      <c r="C379" s="126" t="s">
        <v>1985</v>
      </c>
      <c r="D379" s="126" t="s">
        <v>518</v>
      </c>
      <c r="F379" s="126" t="s">
        <v>2471</v>
      </c>
      <c r="G379" s="129" t="s">
        <v>2857</v>
      </c>
      <c r="H379" s="126" t="s">
        <v>444</v>
      </c>
      <c r="I379" s="133">
        <v>150000</v>
      </c>
      <c r="J379" s="135" t="s">
        <v>3231</v>
      </c>
    </row>
    <row r="380" spans="1:10" ht="31.5" x14ac:dyDescent="0.2">
      <c r="A380">
        <v>377</v>
      </c>
      <c r="B380" s="136" t="s">
        <v>3608</v>
      </c>
      <c r="C380" s="126" t="s">
        <v>1986</v>
      </c>
      <c r="D380" s="126" t="s">
        <v>518</v>
      </c>
      <c r="F380" s="126" t="s">
        <v>2471</v>
      </c>
      <c r="G380" s="129" t="s">
        <v>2858</v>
      </c>
      <c r="H380" s="126" t="s">
        <v>444</v>
      </c>
      <c r="I380" s="133">
        <v>200000</v>
      </c>
      <c r="J380" s="135" t="s">
        <v>3231</v>
      </c>
    </row>
    <row r="381" spans="1:10" ht="31.5" x14ac:dyDescent="0.2">
      <c r="A381">
        <v>378</v>
      </c>
      <c r="B381" s="136" t="s">
        <v>3609</v>
      </c>
      <c r="C381" s="126" t="s">
        <v>1987</v>
      </c>
      <c r="D381" s="126" t="s">
        <v>518</v>
      </c>
      <c r="F381" s="126" t="s">
        <v>2471</v>
      </c>
      <c r="G381" s="129" t="s">
        <v>2859</v>
      </c>
      <c r="H381" s="126" t="s">
        <v>444</v>
      </c>
      <c r="I381" s="133">
        <v>200000</v>
      </c>
      <c r="J381" s="135" t="s">
        <v>3231</v>
      </c>
    </row>
    <row r="382" spans="1:10" ht="31.5" x14ac:dyDescent="0.2">
      <c r="A382">
        <v>379</v>
      </c>
      <c r="B382" s="136" t="s">
        <v>3610</v>
      </c>
      <c r="C382" s="126" t="s">
        <v>1988</v>
      </c>
      <c r="D382" s="126" t="s">
        <v>518</v>
      </c>
      <c r="F382" s="126" t="s">
        <v>3901</v>
      </c>
      <c r="G382" s="129" t="s">
        <v>2860</v>
      </c>
      <c r="H382" s="126" t="s">
        <v>2987</v>
      </c>
      <c r="I382" s="133">
        <v>1000000</v>
      </c>
      <c r="J382" s="135" t="s">
        <v>3231</v>
      </c>
    </row>
    <row r="383" spans="1:10" ht="78.75" x14ac:dyDescent="0.2">
      <c r="A383">
        <v>380</v>
      </c>
      <c r="B383" s="136" t="s">
        <v>3611</v>
      </c>
      <c r="C383" s="126" t="s">
        <v>1989</v>
      </c>
      <c r="D383" s="126" t="s">
        <v>2352</v>
      </c>
      <c r="F383" s="126" t="s">
        <v>2476</v>
      </c>
      <c r="G383" s="129" t="s">
        <v>2861</v>
      </c>
      <c r="H383" s="126" t="s">
        <v>3047</v>
      </c>
      <c r="I383" s="133">
        <v>7100000</v>
      </c>
      <c r="J383" s="135" t="s">
        <v>3231</v>
      </c>
    </row>
    <row r="384" spans="1:10" ht="78.75" x14ac:dyDescent="0.2">
      <c r="A384">
        <v>381</v>
      </c>
      <c r="B384" s="136" t="s">
        <v>3612</v>
      </c>
      <c r="C384" s="126" t="s">
        <v>1990</v>
      </c>
      <c r="D384" s="126" t="s">
        <v>518</v>
      </c>
      <c r="F384" s="126" t="s">
        <v>3901</v>
      </c>
      <c r="G384" s="129" t="s">
        <v>2862</v>
      </c>
      <c r="H384" s="126" t="s">
        <v>2987</v>
      </c>
      <c r="I384" s="133">
        <v>1000000</v>
      </c>
      <c r="J384" s="135" t="s">
        <v>3231</v>
      </c>
    </row>
    <row r="385" spans="1:10" ht="78.75" x14ac:dyDescent="0.2">
      <c r="A385">
        <v>382</v>
      </c>
      <c r="B385" s="136" t="s">
        <v>3613</v>
      </c>
      <c r="C385" s="126" t="s">
        <v>1991</v>
      </c>
      <c r="D385" s="126" t="s">
        <v>518</v>
      </c>
      <c r="F385" s="126" t="s">
        <v>3901</v>
      </c>
      <c r="G385" s="129" t="s">
        <v>2863</v>
      </c>
      <c r="H385" s="126" t="s">
        <v>2987</v>
      </c>
      <c r="I385" s="133">
        <v>990000</v>
      </c>
      <c r="J385" s="135" t="s">
        <v>3231</v>
      </c>
    </row>
    <row r="386" spans="1:10" ht="78.75" x14ac:dyDescent="0.2">
      <c r="A386">
        <v>383</v>
      </c>
      <c r="B386" s="136" t="s">
        <v>3614</v>
      </c>
      <c r="C386" s="126" t="s">
        <v>1992</v>
      </c>
      <c r="D386" s="126" t="s">
        <v>2353</v>
      </c>
      <c r="F386" s="126" t="s">
        <v>3881</v>
      </c>
      <c r="G386" s="129" t="s">
        <v>2864</v>
      </c>
      <c r="H386" s="126" t="s">
        <v>3047</v>
      </c>
      <c r="I386" s="133">
        <v>1350000</v>
      </c>
      <c r="J386" s="135" t="s">
        <v>3231</v>
      </c>
    </row>
    <row r="387" spans="1:10" ht="31.5" x14ac:dyDescent="0.2">
      <c r="A387">
        <v>384</v>
      </c>
      <c r="B387" s="136" t="s">
        <v>3615</v>
      </c>
      <c r="C387" s="126" t="s">
        <v>1993</v>
      </c>
      <c r="D387" s="126" t="s">
        <v>2354</v>
      </c>
      <c r="F387" s="126" t="s">
        <v>3844</v>
      </c>
      <c r="G387" s="129" t="s">
        <v>2865</v>
      </c>
      <c r="H387" s="126" t="s">
        <v>3023</v>
      </c>
      <c r="I387" s="132" t="s">
        <v>3190</v>
      </c>
      <c r="J387" s="135" t="s">
        <v>3231</v>
      </c>
    </row>
    <row r="388" spans="1:10" ht="31.5" x14ac:dyDescent="0.2">
      <c r="A388">
        <v>385</v>
      </c>
      <c r="B388" s="136" t="s">
        <v>3616</v>
      </c>
      <c r="C388" s="126" t="s">
        <v>1994</v>
      </c>
      <c r="D388" s="126" t="s">
        <v>2355</v>
      </c>
      <c r="F388" s="126" t="s">
        <v>3851</v>
      </c>
      <c r="G388" s="129" t="s">
        <v>2866</v>
      </c>
      <c r="H388" s="126" t="s">
        <v>3030</v>
      </c>
      <c r="I388" s="132" t="s">
        <v>3072</v>
      </c>
      <c r="J388" s="135" t="s">
        <v>3231</v>
      </c>
    </row>
    <row r="389" spans="1:10" ht="31.5" x14ac:dyDescent="0.2">
      <c r="A389">
        <v>386</v>
      </c>
      <c r="B389" s="136" t="s">
        <v>3617</v>
      </c>
      <c r="C389" s="126" t="s">
        <v>1995</v>
      </c>
      <c r="D389" s="126" t="s">
        <v>2356</v>
      </c>
      <c r="F389" s="126" t="s">
        <v>3900</v>
      </c>
      <c r="G389" s="129" t="s">
        <v>2867</v>
      </c>
      <c r="H389" s="126" t="s">
        <v>3023</v>
      </c>
      <c r="I389" s="132" t="s">
        <v>3171</v>
      </c>
      <c r="J389" s="135" t="s">
        <v>3231</v>
      </c>
    </row>
    <row r="390" spans="1:10" ht="47.25" x14ac:dyDescent="0.2">
      <c r="A390">
        <v>387</v>
      </c>
      <c r="B390" s="136" t="s">
        <v>3618</v>
      </c>
      <c r="C390" s="126" t="s">
        <v>1996</v>
      </c>
      <c r="D390" s="126" t="s">
        <v>2357</v>
      </c>
      <c r="F390" s="126" t="s">
        <v>3900</v>
      </c>
      <c r="G390" s="129" t="s">
        <v>2868</v>
      </c>
      <c r="H390" s="126" t="s">
        <v>444</v>
      </c>
      <c r="I390" s="133">
        <v>1470000</v>
      </c>
      <c r="J390" s="135" t="s">
        <v>3231</v>
      </c>
    </row>
    <row r="391" spans="1:10" ht="31.5" x14ac:dyDescent="0.2">
      <c r="A391">
        <v>388</v>
      </c>
      <c r="B391" s="136" t="s">
        <v>3619</v>
      </c>
      <c r="C391" s="126" t="s">
        <v>1997</v>
      </c>
      <c r="D391" s="126" t="s">
        <v>2358</v>
      </c>
      <c r="F391" s="126" t="s">
        <v>3851</v>
      </c>
      <c r="G391" s="129" t="s">
        <v>2869</v>
      </c>
      <c r="H391" s="126" t="s">
        <v>3030</v>
      </c>
      <c r="I391" s="132" t="s">
        <v>3209</v>
      </c>
      <c r="J391" s="135" t="s">
        <v>3231</v>
      </c>
    </row>
    <row r="392" spans="1:10" ht="78.75" x14ac:dyDescent="0.2">
      <c r="A392">
        <v>389</v>
      </c>
      <c r="B392" s="136" t="s">
        <v>3620</v>
      </c>
      <c r="C392" s="126" t="s">
        <v>1998</v>
      </c>
      <c r="D392" s="126" t="s">
        <v>2359</v>
      </c>
      <c r="F392" s="126" t="s">
        <v>3900</v>
      </c>
      <c r="G392" s="129" t="s">
        <v>2870</v>
      </c>
      <c r="H392" s="126" t="s">
        <v>3048</v>
      </c>
      <c r="I392" s="133">
        <v>2232000</v>
      </c>
      <c r="J392" s="135" t="s">
        <v>3231</v>
      </c>
    </row>
    <row r="393" spans="1:10" ht="47.25" x14ac:dyDescent="0.2">
      <c r="A393">
        <v>390</v>
      </c>
      <c r="B393" s="136" t="s">
        <v>3621</v>
      </c>
      <c r="C393" s="126" t="s">
        <v>1999</v>
      </c>
      <c r="D393" s="126" t="s">
        <v>2360</v>
      </c>
      <c r="F393" s="126" t="s">
        <v>3851</v>
      </c>
      <c r="G393" s="129" t="s">
        <v>2871</v>
      </c>
      <c r="H393" s="126" t="s">
        <v>3030</v>
      </c>
      <c r="I393" s="132" t="s">
        <v>3119</v>
      </c>
      <c r="J393" s="135" t="s">
        <v>3231</v>
      </c>
    </row>
    <row r="394" spans="1:10" ht="47.25" x14ac:dyDescent="0.2">
      <c r="A394">
        <v>391</v>
      </c>
      <c r="B394" s="136" t="s">
        <v>3622</v>
      </c>
      <c r="C394" s="126" t="s">
        <v>2000</v>
      </c>
      <c r="D394" s="126" t="s">
        <v>2361</v>
      </c>
      <c r="E394" s="126"/>
      <c r="F394" s="126" t="s">
        <v>2492</v>
      </c>
      <c r="G394" s="129" t="s">
        <v>2872</v>
      </c>
      <c r="H394" s="126" t="s">
        <v>3030</v>
      </c>
      <c r="I394" s="132" t="s">
        <v>3192</v>
      </c>
      <c r="J394" s="135" t="s">
        <v>3231</v>
      </c>
    </row>
    <row r="395" spans="1:10" ht="31.5" x14ac:dyDescent="0.2">
      <c r="A395">
        <v>392</v>
      </c>
      <c r="B395" s="136" t="s">
        <v>3623</v>
      </c>
      <c r="C395" s="126" t="s">
        <v>2001</v>
      </c>
      <c r="D395" s="126" t="s">
        <v>2362</v>
      </c>
      <c r="F395" s="126" t="s">
        <v>3900</v>
      </c>
      <c r="G395" s="129" t="s">
        <v>2873</v>
      </c>
      <c r="H395" s="126" t="s">
        <v>3049</v>
      </c>
      <c r="I395" s="132" t="s">
        <v>3084</v>
      </c>
      <c r="J395" s="135" t="s">
        <v>3231</v>
      </c>
    </row>
    <row r="396" spans="1:10" ht="31.5" x14ac:dyDescent="0.2">
      <c r="A396">
        <v>393</v>
      </c>
      <c r="B396" s="136" t="s">
        <v>3624</v>
      </c>
      <c r="C396" s="126" t="s">
        <v>2002</v>
      </c>
      <c r="D396" s="126" t="s">
        <v>2363</v>
      </c>
      <c r="F396" s="126" t="s">
        <v>3865</v>
      </c>
      <c r="G396" s="129" t="s">
        <v>2874</v>
      </c>
      <c r="H396" s="126" t="s">
        <v>444</v>
      </c>
      <c r="I396" s="133">
        <v>500000</v>
      </c>
      <c r="J396" s="135" t="s">
        <v>3231</v>
      </c>
    </row>
    <row r="397" spans="1:10" ht="31.5" x14ac:dyDescent="0.2">
      <c r="A397">
        <v>394</v>
      </c>
      <c r="B397" s="136" t="s">
        <v>3625</v>
      </c>
      <c r="C397" s="126" t="s">
        <v>2003</v>
      </c>
      <c r="D397" s="126" t="s">
        <v>518</v>
      </c>
      <c r="F397" s="126" t="s">
        <v>3900</v>
      </c>
      <c r="G397" s="129" t="s">
        <v>2875</v>
      </c>
      <c r="H397" s="126" t="s">
        <v>3050</v>
      </c>
      <c r="I397" s="132" t="s">
        <v>3076</v>
      </c>
      <c r="J397" s="135" t="s">
        <v>3231</v>
      </c>
    </row>
    <row r="398" spans="1:10" ht="31.5" x14ac:dyDescent="0.2">
      <c r="A398">
        <v>395</v>
      </c>
      <c r="B398" s="136" t="s">
        <v>3626</v>
      </c>
      <c r="C398" s="126" t="s">
        <v>2004</v>
      </c>
      <c r="D398" s="126" t="s">
        <v>518</v>
      </c>
      <c r="F398" s="126" t="s">
        <v>3900</v>
      </c>
      <c r="G398" s="129" t="s">
        <v>2876</v>
      </c>
      <c r="H398" s="126" t="s">
        <v>3050</v>
      </c>
      <c r="I398" s="132" t="s">
        <v>3153</v>
      </c>
      <c r="J398" s="135" t="s">
        <v>3231</v>
      </c>
    </row>
    <row r="399" spans="1:10" ht="31.5" x14ac:dyDescent="0.2">
      <c r="A399">
        <v>396</v>
      </c>
      <c r="B399" s="136" t="s">
        <v>3627</v>
      </c>
      <c r="C399" s="126" t="s">
        <v>2005</v>
      </c>
      <c r="D399" s="126" t="s">
        <v>518</v>
      </c>
      <c r="F399" s="126" t="s">
        <v>3900</v>
      </c>
      <c r="G399" s="129" t="s">
        <v>2877</v>
      </c>
      <c r="H399" s="126" t="s">
        <v>3050</v>
      </c>
      <c r="I399" s="132" t="s">
        <v>3171</v>
      </c>
      <c r="J399" s="135" t="s">
        <v>3231</v>
      </c>
    </row>
    <row r="400" spans="1:10" ht="47.25" x14ac:dyDescent="0.2">
      <c r="A400">
        <v>397</v>
      </c>
      <c r="B400" s="136" t="s">
        <v>3628</v>
      </c>
      <c r="C400" s="126" t="s">
        <v>2006</v>
      </c>
      <c r="D400" s="126" t="s">
        <v>2364</v>
      </c>
      <c r="F400" s="126" t="s">
        <v>3844</v>
      </c>
      <c r="G400" s="129" t="s">
        <v>2878</v>
      </c>
      <c r="H400" s="126" t="s">
        <v>3023</v>
      </c>
      <c r="I400" s="132" t="s">
        <v>3155</v>
      </c>
      <c r="J400" s="135" t="s">
        <v>3231</v>
      </c>
    </row>
    <row r="401" spans="1:10" ht="47.25" x14ac:dyDescent="0.2">
      <c r="A401">
        <v>398</v>
      </c>
      <c r="B401" s="136" t="s">
        <v>3629</v>
      </c>
      <c r="C401" s="126" t="s">
        <v>2007</v>
      </c>
      <c r="D401" s="126" t="s">
        <v>2365</v>
      </c>
      <c r="F401" s="126" t="s">
        <v>3844</v>
      </c>
      <c r="G401" s="130" t="s">
        <v>2879</v>
      </c>
      <c r="H401" s="126" t="s">
        <v>3039</v>
      </c>
      <c r="I401" s="132" t="s">
        <v>3168</v>
      </c>
      <c r="J401" s="135" t="s">
        <v>3231</v>
      </c>
    </row>
    <row r="402" spans="1:10" ht="47.25" x14ac:dyDescent="0.2">
      <c r="A402">
        <v>399</v>
      </c>
      <c r="B402" s="136" t="s">
        <v>3630</v>
      </c>
      <c r="C402" s="126" t="s">
        <v>2008</v>
      </c>
      <c r="D402" s="126" t="s">
        <v>2366</v>
      </c>
      <c r="F402" s="126" t="s">
        <v>3852</v>
      </c>
      <c r="G402" s="129" t="s">
        <v>2880</v>
      </c>
      <c r="H402" s="126" t="s">
        <v>3026</v>
      </c>
      <c r="I402" s="133">
        <v>256000</v>
      </c>
      <c r="J402" s="135" t="s">
        <v>3231</v>
      </c>
    </row>
    <row r="403" spans="1:10" ht="31.5" x14ac:dyDescent="0.2">
      <c r="A403">
        <v>400</v>
      </c>
      <c r="B403" s="136" t="s">
        <v>3631</v>
      </c>
      <c r="C403" s="126" t="s">
        <v>2009</v>
      </c>
      <c r="D403" s="126" t="s">
        <v>2367</v>
      </c>
      <c r="F403" s="126" t="s">
        <v>3848</v>
      </c>
      <c r="G403" s="129" t="s">
        <v>2881</v>
      </c>
      <c r="H403" s="126" t="s">
        <v>3051</v>
      </c>
      <c r="I403" s="132" t="s">
        <v>3207</v>
      </c>
      <c r="J403" s="135" t="s">
        <v>3231</v>
      </c>
    </row>
    <row r="404" spans="1:10" ht="31.5" x14ac:dyDescent="0.2">
      <c r="A404">
        <v>401</v>
      </c>
      <c r="B404" s="136" t="s">
        <v>3632</v>
      </c>
      <c r="C404" s="126" t="s">
        <v>2009</v>
      </c>
      <c r="D404" s="126" t="s">
        <v>518</v>
      </c>
      <c r="F404" s="126" t="s">
        <v>2491</v>
      </c>
      <c r="G404" s="129" t="s">
        <v>2882</v>
      </c>
      <c r="H404" s="126" t="s">
        <v>3052</v>
      </c>
      <c r="I404" s="133">
        <v>350000</v>
      </c>
      <c r="J404" s="135" t="s">
        <v>3231</v>
      </c>
    </row>
    <row r="405" spans="1:10" ht="63" x14ac:dyDescent="0.2">
      <c r="A405">
        <v>402</v>
      </c>
      <c r="B405" s="136" t="s">
        <v>3633</v>
      </c>
      <c r="C405" s="126" t="s">
        <v>2010</v>
      </c>
      <c r="D405" s="126" t="s">
        <v>2368</v>
      </c>
      <c r="F405" s="126" t="s">
        <v>3900</v>
      </c>
      <c r="G405" s="129" t="s">
        <v>2883</v>
      </c>
      <c r="H405" s="126" t="s">
        <v>3026</v>
      </c>
      <c r="I405" s="133">
        <v>583000</v>
      </c>
      <c r="J405" s="135" t="s">
        <v>3231</v>
      </c>
    </row>
    <row r="406" spans="1:10" ht="31.5" x14ac:dyDescent="0.2">
      <c r="A406">
        <v>403</v>
      </c>
      <c r="B406" s="136" t="s">
        <v>3634</v>
      </c>
      <c r="C406" s="126" t="s">
        <v>2011</v>
      </c>
      <c r="D406" s="126" t="s">
        <v>2369</v>
      </c>
      <c r="F406" s="126" t="s">
        <v>3851</v>
      </c>
      <c r="G406" s="129" t="s">
        <v>2884</v>
      </c>
      <c r="H406" s="126" t="s">
        <v>3026</v>
      </c>
      <c r="I406" s="132" t="s">
        <v>3172</v>
      </c>
      <c r="J406" s="135" t="s">
        <v>3231</v>
      </c>
    </row>
    <row r="407" spans="1:10" ht="47.25" x14ac:dyDescent="0.2">
      <c r="A407">
        <v>404</v>
      </c>
      <c r="B407" s="136" t="s">
        <v>3635</v>
      </c>
      <c r="C407" s="126" t="s">
        <v>2012</v>
      </c>
      <c r="D407" s="126" t="s">
        <v>518</v>
      </c>
      <c r="F407" s="126" t="s">
        <v>3844</v>
      </c>
      <c r="G407" s="129" t="s">
        <v>2885</v>
      </c>
      <c r="H407" s="126" t="s">
        <v>3053</v>
      </c>
      <c r="I407" s="132" t="s">
        <v>3210</v>
      </c>
      <c r="J407" s="135" t="s">
        <v>3231</v>
      </c>
    </row>
    <row r="408" spans="1:10" ht="47.25" x14ac:dyDescent="0.2">
      <c r="A408">
        <v>405</v>
      </c>
      <c r="B408" s="136" t="s">
        <v>3636</v>
      </c>
      <c r="C408" s="127" t="s">
        <v>2012</v>
      </c>
      <c r="D408" s="127">
        <v>38582</v>
      </c>
      <c r="E408" s="127"/>
      <c r="F408" s="127" t="s">
        <v>2502</v>
      </c>
      <c r="G408" s="131" t="s">
        <v>2885</v>
      </c>
      <c r="H408" s="127" t="s">
        <v>3054</v>
      </c>
      <c r="I408" s="134" t="s">
        <v>3086</v>
      </c>
      <c r="J408" s="135" t="s">
        <v>3231</v>
      </c>
    </row>
    <row r="409" spans="1:10" ht="47.25" x14ac:dyDescent="0.2">
      <c r="A409">
        <v>406</v>
      </c>
      <c r="B409" s="136" t="s">
        <v>3637</v>
      </c>
      <c r="C409" s="127" t="s">
        <v>2013</v>
      </c>
      <c r="D409" s="127" t="s">
        <v>2370</v>
      </c>
      <c r="F409" s="127" t="s">
        <v>3900</v>
      </c>
      <c r="G409" s="131" t="s">
        <v>2886</v>
      </c>
      <c r="H409" s="127" t="s">
        <v>3022</v>
      </c>
      <c r="I409" s="134" t="s">
        <v>3158</v>
      </c>
      <c r="J409" s="135" t="s">
        <v>3231</v>
      </c>
    </row>
    <row r="410" spans="1:10" ht="47.25" x14ac:dyDescent="0.2">
      <c r="A410">
        <v>407</v>
      </c>
      <c r="B410" s="136" t="s">
        <v>3638</v>
      </c>
      <c r="C410" s="126" t="s">
        <v>2014</v>
      </c>
      <c r="D410" s="126" t="s">
        <v>2371</v>
      </c>
      <c r="F410" s="126" t="s">
        <v>3851</v>
      </c>
      <c r="G410" s="129" t="s">
        <v>2887</v>
      </c>
      <c r="H410" s="126" t="s">
        <v>3029</v>
      </c>
      <c r="I410" s="132" t="s">
        <v>3107</v>
      </c>
      <c r="J410" s="135" t="s">
        <v>3231</v>
      </c>
    </row>
    <row r="411" spans="1:10" ht="47.25" x14ac:dyDescent="0.2">
      <c r="A411">
        <v>408</v>
      </c>
      <c r="B411" s="136" t="s">
        <v>3639</v>
      </c>
      <c r="C411" s="126" t="s">
        <v>2015</v>
      </c>
      <c r="D411" s="126" t="s">
        <v>2372</v>
      </c>
      <c r="F411" s="126" t="s">
        <v>3900</v>
      </c>
      <c r="G411" s="129" t="s">
        <v>2888</v>
      </c>
      <c r="H411" s="126" t="s">
        <v>3030</v>
      </c>
      <c r="I411" s="132" t="s">
        <v>3086</v>
      </c>
      <c r="J411" s="135" t="s">
        <v>3231</v>
      </c>
    </row>
    <row r="412" spans="1:10" ht="63" x14ac:dyDescent="0.2">
      <c r="A412">
        <v>409</v>
      </c>
      <c r="B412" s="136" t="s">
        <v>3640</v>
      </c>
      <c r="C412" s="127" t="s">
        <v>2016</v>
      </c>
      <c r="D412" s="127" t="s">
        <v>2373</v>
      </c>
      <c r="F412" s="127" t="s">
        <v>3851</v>
      </c>
      <c r="G412" s="131" t="s">
        <v>2889</v>
      </c>
      <c r="H412" s="127" t="s">
        <v>3023</v>
      </c>
      <c r="I412" s="134" t="s">
        <v>3211</v>
      </c>
      <c r="J412" s="135" t="s">
        <v>3231</v>
      </c>
    </row>
    <row r="413" spans="1:10" ht="94.5" x14ac:dyDescent="0.2">
      <c r="A413">
        <v>410</v>
      </c>
      <c r="B413" s="136" t="s">
        <v>3641</v>
      </c>
      <c r="C413" s="126" t="s">
        <v>2017</v>
      </c>
      <c r="D413" s="126" t="s">
        <v>2374</v>
      </c>
      <c r="F413" s="126" t="s">
        <v>3900</v>
      </c>
      <c r="G413" s="129" t="s">
        <v>2890</v>
      </c>
      <c r="H413" s="126" t="s">
        <v>444</v>
      </c>
      <c r="I413" s="133">
        <v>5286000</v>
      </c>
      <c r="J413" s="135" t="s">
        <v>3231</v>
      </c>
    </row>
    <row r="414" spans="1:10" ht="15.75" x14ac:dyDescent="0.2">
      <c r="A414">
        <v>411</v>
      </c>
      <c r="B414" s="136" t="s">
        <v>3642</v>
      </c>
      <c r="C414" s="126" t="s">
        <v>2018</v>
      </c>
      <c r="D414" s="126" t="s">
        <v>518</v>
      </c>
      <c r="F414" s="126" t="s">
        <v>2491</v>
      </c>
      <c r="G414" s="129" t="s">
        <v>2891</v>
      </c>
      <c r="H414" s="126" t="s">
        <v>2987</v>
      </c>
      <c r="I414" s="132" t="s">
        <v>3143</v>
      </c>
      <c r="J414" s="135" t="s">
        <v>3231</v>
      </c>
    </row>
    <row r="415" spans="1:10" ht="47.25" x14ac:dyDescent="0.2">
      <c r="A415">
        <v>412</v>
      </c>
      <c r="B415" s="136" t="s">
        <v>3643</v>
      </c>
      <c r="C415" s="126" t="s">
        <v>2019</v>
      </c>
      <c r="D415" s="126" t="s">
        <v>2375</v>
      </c>
      <c r="F415" s="126" t="s">
        <v>3844</v>
      </c>
      <c r="G415" s="129" t="s">
        <v>2892</v>
      </c>
      <c r="H415" s="126" t="s">
        <v>444</v>
      </c>
      <c r="I415" s="133">
        <v>290000</v>
      </c>
      <c r="J415" s="135" t="s">
        <v>3231</v>
      </c>
    </row>
    <row r="416" spans="1:10" ht="31.5" x14ac:dyDescent="0.2">
      <c r="A416">
        <v>413</v>
      </c>
      <c r="B416" s="136" t="s">
        <v>3644</v>
      </c>
      <c r="C416" s="126" t="s">
        <v>2019</v>
      </c>
      <c r="D416" s="126" t="s">
        <v>2376</v>
      </c>
      <c r="F416" s="126" t="s">
        <v>3862</v>
      </c>
      <c r="G416" s="129" t="s">
        <v>2798</v>
      </c>
      <c r="H416" s="126" t="s">
        <v>3037</v>
      </c>
      <c r="I416" s="132" t="s">
        <v>3212</v>
      </c>
      <c r="J416" s="135" t="s">
        <v>3231</v>
      </c>
    </row>
    <row r="417" spans="1:10" ht="47.25" x14ac:dyDescent="0.2">
      <c r="A417">
        <v>414</v>
      </c>
      <c r="B417" s="136" t="s">
        <v>3645</v>
      </c>
      <c r="C417" s="126" t="s">
        <v>2019</v>
      </c>
      <c r="D417" s="126" t="s">
        <v>2377</v>
      </c>
      <c r="F417" s="126" t="s">
        <v>2491</v>
      </c>
      <c r="G417" s="129" t="s">
        <v>2893</v>
      </c>
      <c r="H417" s="126" t="s">
        <v>3051</v>
      </c>
      <c r="I417" s="132" t="s">
        <v>3213</v>
      </c>
      <c r="J417" s="135" t="s">
        <v>3231</v>
      </c>
    </row>
    <row r="418" spans="1:10" ht="47.25" x14ac:dyDescent="0.2">
      <c r="A418">
        <v>415</v>
      </c>
      <c r="B418" s="136" t="s">
        <v>3646</v>
      </c>
      <c r="C418" s="126" t="s">
        <v>2020</v>
      </c>
      <c r="D418" s="126" t="s">
        <v>2378</v>
      </c>
      <c r="F418" s="126" t="s">
        <v>3900</v>
      </c>
      <c r="G418" s="129" t="s">
        <v>2894</v>
      </c>
      <c r="H418" s="126" t="s">
        <v>2987</v>
      </c>
      <c r="I418" s="132" t="s">
        <v>3182</v>
      </c>
      <c r="J418" s="135" t="s">
        <v>3231</v>
      </c>
    </row>
    <row r="419" spans="1:10" ht="47.25" x14ac:dyDescent="0.2">
      <c r="A419">
        <v>416</v>
      </c>
      <c r="B419" s="136" t="s">
        <v>3647</v>
      </c>
      <c r="C419" s="126" t="s">
        <v>2020</v>
      </c>
      <c r="D419" s="126" t="s">
        <v>2379</v>
      </c>
      <c r="E419" s="126"/>
      <c r="F419" s="126" t="s">
        <v>2505</v>
      </c>
      <c r="G419" s="129" t="s">
        <v>2895</v>
      </c>
      <c r="H419" s="126" t="s">
        <v>2987</v>
      </c>
      <c r="I419" s="133">
        <v>420000</v>
      </c>
      <c r="J419" s="135" t="s">
        <v>3231</v>
      </c>
    </row>
    <row r="420" spans="1:10" ht="31.5" x14ac:dyDescent="0.2">
      <c r="A420">
        <v>417</v>
      </c>
      <c r="B420" s="136" t="s">
        <v>3648</v>
      </c>
      <c r="C420" s="126" t="s">
        <v>2021</v>
      </c>
      <c r="D420" s="126" t="s">
        <v>2380</v>
      </c>
      <c r="E420" s="4"/>
      <c r="F420" s="126" t="s">
        <v>2500</v>
      </c>
      <c r="G420" s="129" t="s">
        <v>2896</v>
      </c>
      <c r="H420" s="126" t="s">
        <v>3055</v>
      </c>
      <c r="I420" s="132" t="s">
        <v>3156</v>
      </c>
      <c r="J420" s="135" t="s">
        <v>3231</v>
      </c>
    </row>
    <row r="421" spans="1:10" ht="94.5" x14ac:dyDescent="0.2">
      <c r="A421">
        <v>418</v>
      </c>
      <c r="B421" s="136" t="s">
        <v>3649</v>
      </c>
      <c r="C421" s="126" t="s">
        <v>2022</v>
      </c>
      <c r="D421" s="126" t="s">
        <v>2381</v>
      </c>
      <c r="F421" s="126" t="s">
        <v>3900</v>
      </c>
      <c r="G421" s="129" t="s">
        <v>2897</v>
      </c>
      <c r="H421" s="126" t="s">
        <v>3020</v>
      </c>
      <c r="I421" s="133">
        <v>9358000</v>
      </c>
      <c r="J421" s="135" t="s">
        <v>3231</v>
      </c>
    </row>
    <row r="422" spans="1:10" ht="63" x14ac:dyDescent="0.2">
      <c r="A422">
        <v>419</v>
      </c>
      <c r="B422" s="136" t="s">
        <v>3650</v>
      </c>
      <c r="C422" s="126" t="s">
        <v>2023</v>
      </c>
      <c r="D422" s="126" t="s">
        <v>2382</v>
      </c>
      <c r="F422" s="126" t="s">
        <v>3854</v>
      </c>
      <c r="G422" s="130" t="s">
        <v>2898</v>
      </c>
      <c r="H422" s="126" t="s">
        <v>3047</v>
      </c>
      <c r="I422" s="132" t="s">
        <v>3214</v>
      </c>
      <c r="J422" s="135" t="s">
        <v>3231</v>
      </c>
    </row>
    <row r="423" spans="1:10" ht="63" x14ac:dyDescent="0.2">
      <c r="A423">
        <v>420</v>
      </c>
      <c r="B423" s="136" t="s">
        <v>3651</v>
      </c>
      <c r="C423" s="126" t="s">
        <v>2024</v>
      </c>
      <c r="D423" s="126" t="s">
        <v>2383</v>
      </c>
      <c r="F423" s="126" t="s">
        <v>2471</v>
      </c>
      <c r="G423" s="129" t="s">
        <v>2899</v>
      </c>
      <c r="H423" s="126" t="s">
        <v>3056</v>
      </c>
      <c r="I423" s="132" t="s">
        <v>3215</v>
      </c>
      <c r="J423" s="135" t="s">
        <v>3231</v>
      </c>
    </row>
    <row r="424" spans="1:10" ht="47.25" x14ac:dyDescent="0.2">
      <c r="A424">
        <v>421</v>
      </c>
      <c r="B424" s="136" t="s">
        <v>3652</v>
      </c>
      <c r="C424" s="126" t="s">
        <v>2025</v>
      </c>
      <c r="D424" s="126" t="s">
        <v>2384</v>
      </c>
      <c r="F424" s="126" t="s">
        <v>2471</v>
      </c>
      <c r="G424" s="129" t="s">
        <v>2900</v>
      </c>
      <c r="H424" s="126" t="s">
        <v>3047</v>
      </c>
      <c r="I424" s="132" t="s">
        <v>3216</v>
      </c>
      <c r="J424" s="135" t="s">
        <v>3231</v>
      </c>
    </row>
    <row r="425" spans="1:10" ht="31.5" x14ac:dyDescent="0.2">
      <c r="A425">
        <v>422</v>
      </c>
      <c r="B425" s="136" t="s">
        <v>3653</v>
      </c>
      <c r="C425" s="127" t="s">
        <v>2026</v>
      </c>
      <c r="D425" s="127" t="s">
        <v>2385</v>
      </c>
      <c r="F425" s="127" t="s">
        <v>3900</v>
      </c>
      <c r="G425" s="131" t="s">
        <v>2901</v>
      </c>
      <c r="H425" s="127" t="s">
        <v>3057</v>
      </c>
      <c r="I425" s="134" t="s">
        <v>3086</v>
      </c>
      <c r="J425" s="135" t="s">
        <v>3231</v>
      </c>
    </row>
    <row r="426" spans="1:10" ht="31.5" x14ac:dyDescent="0.2">
      <c r="A426">
        <v>423</v>
      </c>
      <c r="B426" s="136" t="s">
        <v>3654</v>
      </c>
      <c r="C426" s="127" t="s">
        <v>2027</v>
      </c>
      <c r="D426" s="127" t="s">
        <v>2386</v>
      </c>
      <c r="F426" s="127" t="s">
        <v>3900</v>
      </c>
      <c r="G426" s="131" t="s">
        <v>2902</v>
      </c>
      <c r="H426" s="127" t="s">
        <v>3057</v>
      </c>
      <c r="I426" s="134" t="s">
        <v>3155</v>
      </c>
      <c r="J426" s="135" t="s">
        <v>3231</v>
      </c>
    </row>
    <row r="427" spans="1:10" ht="47.25" x14ac:dyDescent="0.2">
      <c r="A427">
        <v>424</v>
      </c>
      <c r="B427" s="136" t="s">
        <v>3655</v>
      </c>
      <c r="C427" s="126" t="s">
        <v>2028</v>
      </c>
      <c r="D427" s="126" t="s">
        <v>2387</v>
      </c>
      <c r="F427" s="126" t="s">
        <v>2471</v>
      </c>
      <c r="G427" s="130" t="s">
        <v>2903</v>
      </c>
      <c r="H427" s="126" t="s">
        <v>3047</v>
      </c>
      <c r="I427" s="132" t="s">
        <v>3080</v>
      </c>
      <c r="J427" s="135" t="s">
        <v>3231</v>
      </c>
    </row>
    <row r="428" spans="1:10" ht="31.5" x14ac:dyDescent="0.2">
      <c r="A428">
        <v>425</v>
      </c>
      <c r="B428" s="136" t="s">
        <v>3656</v>
      </c>
      <c r="C428" s="126" t="s">
        <v>2029</v>
      </c>
      <c r="D428" s="126" t="s">
        <v>2388</v>
      </c>
      <c r="F428" s="126" t="s">
        <v>3900</v>
      </c>
      <c r="G428" s="129" t="s">
        <v>2904</v>
      </c>
      <c r="H428" s="126" t="s">
        <v>3058</v>
      </c>
      <c r="I428" s="132" t="s">
        <v>3162</v>
      </c>
      <c r="J428" s="135" t="s">
        <v>3231</v>
      </c>
    </row>
    <row r="429" spans="1:10" ht="31.5" x14ac:dyDescent="0.2">
      <c r="A429">
        <v>426</v>
      </c>
      <c r="B429" s="136" t="s">
        <v>3657</v>
      </c>
      <c r="C429" s="126" t="s">
        <v>2030</v>
      </c>
      <c r="D429" s="126" t="s">
        <v>2389</v>
      </c>
      <c r="F429" s="126" t="s">
        <v>3900</v>
      </c>
      <c r="G429" s="129" t="s">
        <v>2905</v>
      </c>
      <c r="H429" s="126" t="s">
        <v>3059</v>
      </c>
      <c r="I429" s="132" t="s">
        <v>3076</v>
      </c>
      <c r="J429" s="135" t="s">
        <v>3231</v>
      </c>
    </row>
    <row r="430" spans="1:10" ht="31.5" x14ac:dyDescent="0.2">
      <c r="A430">
        <v>427</v>
      </c>
      <c r="B430" s="136" t="s">
        <v>3658</v>
      </c>
      <c r="C430" s="126" t="s">
        <v>2031</v>
      </c>
      <c r="D430" s="126" t="s">
        <v>2390</v>
      </c>
      <c r="F430" s="126" t="s">
        <v>3900</v>
      </c>
      <c r="G430" s="129" t="s">
        <v>2906</v>
      </c>
      <c r="H430" s="126" t="s">
        <v>3024</v>
      </c>
      <c r="I430" s="132" t="s">
        <v>3198</v>
      </c>
      <c r="J430" s="135" t="s">
        <v>3231</v>
      </c>
    </row>
    <row r="431" spans="1:10" ht="63" x14ac:dyDescent="0.2">
      <c r="A431">
        <v>428</v>
      </c>
      <c r="B431" s="136" t="s">
        <v>3659</v>
      </c>
      <c r="C431" s="126" t="s">
        <v>2032</v>
      </c>
      <c r="D431" s="126" t="s">
        <v>2391</v>
      </c>
      <c r="F431" s="126" t="s">
        <v>3900</v>
      </c>
      <c r="G431" s="129" t="s">
        <v>2907</v>
      </c>
      <c r="H431" s="126" t="s">
        <v>3020</v>
      </c>
      <c r="I431" s="133">
        <v>850000</v>
      </c>
      <c r="J431" s="135" t="s">
        <v>3231</v>
      </c>
    </row>
    <row r="432" spans="1:10" ht="31.5" x14ac:dyDescent="0.2">
      <c r="A432">
        <v>429</v>
      </c>
      <c r="B432" s="136" t="s">
        <v>3660</v>
      </c>
      <c r="C432" s="126" t="s">
        <v>2033</v>
      </c>
      <c r="D432" s="126" t="s">
        <v>2392</v>
      </c>
      <c r="F432" s="126" t="s">
        <v>2491</v>
      </c>
      <c r="G432" s="129" t="s">
        <v>2908</v>
      </c>
      <c r="H432" s="126" t="s">
        <v>444</v>
      </c>
      <c r="I432" s="133">
        <v>500000</v>
      </c>
      <c r="J432" s="135" t="s">
        <v>3231</v>
      </c>
    </row>
    <row r="433" spans="1:10" ht="47.25" x14ac:dyDescent="0.2">
      <c r="A433">
        <v>430</v>
      </c>
      <c r="B433" s="136" t="s">
        <v>3661</v>
      </c>
      <c r="C433" s="126" t="s">
        <v>2034</v>
      </c>
      <c r="D433" s="126" t="s">
        <v>2393</v>
      </c>
      <c r="F433" s="126" t="s">
        <v>3900</v>
      </c>
      <c r="G433" s="129" t="s">
        <v>2909</v>
      </c>
      <c r="H433" s="126" t="s">
        <v>3031</v>
      </c>
      <c r="I433" s="132" t="s">
        <v>3075</v>
      </c>
      <c r="J433" s="135" t="s">
        <v>3231</v>
      </c>
    </row>
    <row r="434" spans="1:10" ht="31.5" x14ac:dyDescent="0.2">
      <c r="A434">
        <v>431</v>
      </c>
      <c r="B434" s="136" t="s">
        <v>3662</v>
      </c>
      <c r="C434" s="126" t="s">
        <v>2035</v>
      </c>
      <c r="D434" s="126" t="s">
        <v>518</v>
      </c>
      <c r="F434" s="126" t="s">
        <v>2491</v>
      </c>
      <c r="G434" s="129" t="s">
        <v>2910</v>
      </c>
      <c r="H434" s="126" t="s">
        <v>3000</v>
      </c>
      <c r="I434" s="132" t="s">
        <v>3217</v>
      </c>
      <c r="J434" s="135" t="s">
        <v>3231</v>
      </c>
    </row>
    <row r="435" spans="1:10" ht="220.5" x14ac:dyDescent="0.2">
      <c r="A435">
        <v>432</v>
      </c>
      <c r="B435" s="136" t="s">
        <v>3663</v>
      </c>
      <c r="C435" s="126" t="s">
        <v>2036</v>
      </c>
      <c r="D435" s="126" t="s">
        <v>2394</v>
      </c>
      <c r="F435" s="126" t="s">
        <v>3900</v>
      </c>
      <c r="G435" s="129" t="s">
        <v>2911</v>
      </c>
      <c r="H435" s="126" t="s">
        <v>3000</v>
      </c>
      <c r="I435" s="133">
        <v>500000</v>
      </c>
      <c r="J435" s="135" t="s">
        <v>3231</v>
      </c>
    </row>
    <row r="436" spans="1:10" ht="31.5" x14ac:dyDescent="0.2">
      <c r="A436">
        <v>433</v>
      </c>
      <c r="B436" s="136" t="s">
        <v>3664</v>
      </c>
      <c r="C436" s="126" t="s">
        <v>2037</v>
      </c>
      <c r="D436" s="126" t="s">
        <v>2395</v>
      </c>
      <c r="E436" s="126"/>
      <c r="F436" s="126" t="s">
        <v>2495</v>
      </c>
      <c r="G436" s="129" t="s">
        <v>2912</v>
      </c>
      <c r="H436" s="126" t="s">
        <v>3023</v>
      </c>
      <c r="I436" s="132" t="s">
        <v>3127</v>
      </c>
      <c r="J436" s="135" t="s">
        <v>3231</v>
      </c>
    </row>
    <row r="437" spans="1:10" ht="47.25" x14ac:dyDescent="0.2">
      <c r="A437">
        <v>434</v>
      </c>
      <c r="B437" s="136" t="s">
        <v>3665</v>
      </c>
      <c r="C437" s="126" t="s">
        <v>2038</v>
      </c>
      <c r="D437" s="126" t="s">
        <v>2396</v>
      </c>
      <c r="F437" s="126" t="s">
        <v>3848</v>
      </c>
      <c r="G437" s="129" t="s">
        <v>2913</v>
      </c>
      <c r="H437" s="126" t="s">
        <v>2987</v>
      </c>
      <c r="I437" s="133">
        <v>3000000</v>
      </c>
      <c r="J437" s="135" t="s">
        <v>3231</v>
      </c>
    </row>
    <row r="438" spans="1:10" ht="63" x14ac:dyDescent="0.2">
      <c r="A438">
        <v>435</v>
      </c>
      <c r="B438" s="136" t="s">
        <v>3666</v>
      </c>
      <c r="C438" s="126" t="s">
        <v>2039</v>
      </c>
      <c r="D438" s="126" t="s">
        <v>2397</v>
      </c>
      <c r="F438" s="126" t="s">
        <v>3900</v>
      </c>
      <c r="G438" s="129" t="s">
        <v>2914</v>
      </c>
      <c r="H438" s="126" t="s">
        <v>3031</v>
      </c>
      <c r="I438" s="132" t="s">
        <v>3134</v>
      </c>
      <c r="J438" s="135" t="s">
        <v>3231</v>
      </c>
    </row>
    <row r="439" spans="1:10" ht="47.25" x14ac:dyDescent="0.2">
      <c r="A439">
        <v>436</v>
      </c>
      <c r="B439" s="136" t="s">
        <v>3667</v>
      </c>
      <c r="C439" s="126" t="s">
        <v>2040</v>
      </c>
      <c r="D439" s="126" t="s">
        <v>2398</v>
      </c>
      <c r="F439" s="126" t="s">
        <v>2471</v>
      </c>
      <c r="G439" s="129" t="s">
        <v>2915</v>
      </c>
      <c r="H439" s="126" t="s">
        <v>2987</v>
      </c>
      <c r="I439" s="132" t="s">
        <v>3218</v>
      </c>
      <c r="J439" s="135" t="s">
        <v>3231</v>
      </c>
    </row>
    <row r="440" spans="1:10" ht="15.75" x14ac:dyDescent="0.2">
      <c r="A440">
        <v>437</v>
      </c>
      <c r="B440" s="136" t="s">
        <v>3668</v>
      </c>
      <c r="C440" s="126" t="s">
        <v>2041</v>
      </c>
      <c r="D440" s="126" t="s">
        <v>2399</v>
      </c>
      <c r="F440" s="126" t="s">
        <v>2471</v>
      </c>
      <c r="G440" s="129" t="s">
        <v>2916</v>
      </c>
      <c r="H440" s="126" t="s">
        <v>3060</v>
      </c>
      <c r="I440" s="133">
        <v>1000000</v>
      </c>
      <c r="J440" s="135" t="s">
        <v>3231</v>
      </c>
    </row>
    <row r="441" spans="1:10" ht="31.5" x14ac:dyDescent="0.2">
      <c r="A441">
        <v>438</v>
      </c>
      <c r="B441" s="136" t="s">
        <v>3669</v>
      </c>
      <c r="C441" s="126" t="s">
        <v>2042</v>
      </c>
      <c r="D441" s="126" t="s">
        <v>2400</v>
      </c>
      <c r="E441" s="4"/>
      <c r="F441" s="126" t="s">
        <v>3870</v>
      </c>
      <c r="G441" s="129" t="s">
        <v>2917</v>
      </c>
      <c r="H441" s="126" t="s">
        <v>3060</v>
      </c>
      <c r="I441" s="133">
        <v>1300000</v>
      </c>
      <c r="J441" s="135" t="s">
        <v>3231</v>
      </c>
    </row>
    <row r="442" spans="1:10" ht="31.5" x14ac:dyDescent="0.2">
      <c r="A442">
        <v>439</v>
      </c>
      <c r="B442" s="136" t="s">
        <v>3670</v>
      </c>
      <c r="C442" s="126" t="s">
        <v>2043</v>
      </c>
      <c r="D442" s="126" t="s">
        <v>2401</v>
      </c>
      <c r="F442" s="126" t="s">
        <v>2471</v>
      </c>
      <c r="G442" s="129" t="s">
        <v>2918</v>
      </c>
      <c r="H442" s="126" t="s">
        <v>3061</v>
      </c>
      <c r="I442" s="132" t="s">
        <v>3120</v>
      </c>
      <c r="J442" s="135" t="s">
        <v>3231</v>
      </c>
    </row>
    <row r="443" spans="1:10" ht="31.5" x14ac:dyDescent="0.2">
      <c r="A443">
        <v>440</v>
      </c>
      <c r="B443" s="136" t="s">
        <v>3671</v>
      </c>
      <c r="C443" s="126" t="s">
        <v>2044</v>
      </c>
      <c r="D443" s="126" t="s">
        <v>2402</v>
      </c>
      <c r="F443" s="126" t="s">
        <v>2471</v>
      </c>
      <c r="G443" s="129" t="s">
        <v>2918</v>
      </c>
      <c r="H443" s="126" t="s">
        <v>3061</v>
      </c>
      <c r="I443" s="133">
        <v>1000000</v>
      </c>
      <c r="J443" s="135" t="s">
        <v>3231</v>
      </c>
    </row>
    <row r="444" spans="1:10" ht="94.5" x14ac:dyDescent="0.2">
      <c r="A444">
        <v>441</v>
      </c>
      <c r="B444" s="136" t="s">
        <v>3672</v>
      </c>
      <c r="C444" s="126" t="s">
        <v>2045</v>
      </c>
      <c r="D444" s="126" t="s">
        <v>2403</v>
      </c>
      <c r="F444" s="126" t="s">
        <v>3900</v>
      </c>
      <c r="G444" s="129" t="s">
        <v>2919</v>
      </c>
      <c r="H444" s="126" t="s">
        <v>3020</v>
      </c>
      <c r="I444" s="133">
        <v>3412000</v>
      </c>
      <c r="J444" s="135" t="s">
        <v>3231</v>
      </c>
    </row>
    <row r="445" spans="1:10" ht="15.75" x14ac:dyDescent="0.2">
      <c r="A445">
        <v>442</v>
      </c>
      <c r="B445" s="136" t="s">
        <v>3673</v>
      </c>
      <c r="C445" s="126" t="s">
        <v>2046</v>
      </c>
      <c r="D445" s="126" t="s">
        <v>2404</v>
      </c>
      <c r="F445" s="126" t="s">
        <v>2491</v>
      </c>
      <c r="G445" s="129" t="s">
        <v>2920</v>
      </c>
      <c r="H445" s="126" t="s">
        <v>2995</v>
      </c>
      <c r="I445" s="132" t="s">
        <v>3162</v>
      </c>
      <c r="J445" s="135" t="s">
        <v>3231</v>
      </c>
    </row>
    <row r="446" spans="1:10" ht="47.25" x14ac:dyDescent="0.2">
      <c r="A446">
        <v>443</v>
      </c>
      <c r="B446" s="136" t="s">
        <v>3674</v>
      </c>
      <c r="C446" s="126" t="s">
        <v>2047</v>
      </c>
      <c r="D446" s="126" t="s">
        <v>518</v>
      </c>
      <c r="F446" s="126" t="s">
        <v>2471</v>
      </c>
      <c r="G446" s="129" t="s">
        <v>2921</v>
      </c>
      <c r="H446" s="126" t="s">
        <v>2991</v>
      </c>
      <c r="I446" s="132" t="s">
        <v>3219</v>
      </c>
      <c r="J446" s="135" t="s">
        <v>3231</v>
      </c>
    </row>
    <row r="447" spans="1:10" ht="31.5" x14ac:dyDescent="0.2">
      <c r="A447">
        <v>444</v>
      </c>
      <c r="B447" s="136" t="s">
        <v>3675</v>
      </c>
      <c r="C447" s="127" t="s">
        <v>2048</v>
      </c>
      <c r="D447" s="127" t="s">
        <v>2405</v>
      </c>
      <c r="F447" s="127" t="s">
        <v>3900</v>
      </c>
      <c r="G447" s="131" t="s">
        <v>2922</v>
      </c>
      <c r="H447" s="127" t="s">
        <v>3036</v>
      </c>
      <c r="I447" s="134" t="s">
        <v>3083</v>
      </c>
      <c r="J447" s="135" t="s">
        <v>3231</v>
      </c>
    </row>
    <row r="448" spans="1:10" ht="47.25" x14ac:dyDescent="0.2">
      <c r="A448">
        <v>445</v>
      </c>
      <c r="B448" s="136" t="s">
        <v>3676</v>
      </c>
      <c r="C448" s="126" t="s">
        <v>2049</v>
      </c>
      <c r="D448" s="126" t="s">
        <v>2406</v>
      </c>
      <c r="F448" s="126" t="s">
        <v>3893</v>
      </c>
      <c r="G448" s="129" t="s">
        <v>2923</v>
      </c>
      <c r="H448" s="126" t="s">
        <v>3004</v>
      </c>
      <c r="I448" s="133">
        <v>10795000</v>
      </c>
      <c r="J448" s="135" t="s">
        <v>3231</v>
      </c>
    </row>
    <row r="449" spans="1:10" ht="47.25" x14ac:dyDescent="0.2">
      <c r="A449">
        <v>446</v>
      </c>
      <c r="B449" s="136" t="s">
        <v>3677</v>
      </c>
      <c r="C449" s="126" t="s">
        <v>2050</v>
      </c>
      <c r="D449" s="126" t="s">
        <v>2407</v>
      </c>
      <c r="F449" s="126" t="s">
        <v>3893</v>
      </c>
      <c r="G449" s="129" t="s">
        <v>2924</v>
      </c>
      <c r="H449" s="126" t="s">
        <v>3004</v>
      </c>
      <c r="I449" s="133">
        <v>10795000</v>
      </c>
      <c r="J449" s="135" t="s">
        <v>3231</v>
      </c>
    </row>
    <row r="450" spans="1:10" ht="94.5" x14ac:dyDescent="0.2">
      <c r="A450">
        <v>447</v>
      </c>
      <c r="B450" s="136" t="s">
        <v>3678</v>
      </c>
      <c r="C450" s="126" t="s">
        <v>2051</v>
      </c>
      <c r="D450" s="126" t="s">
        <v>2408</v>
      </c>
      <c r="E450" s="126"/>
      <c r="F450" s="126" t="s">
        <v>2503</v>
      </c>
      <c r="G450" s="129" t="s">
        <v>2925</v>
      </c>
      <c r="H450" s="126" t="s">
        <v>3060</v>
      </c>
      <c r="I450" s="132" t="s">
        <v>3202</v>
      </c>
      <c r="J450" s="135" t="s">
        <v>3231</v>
      </c>
    </row>
    <row r="451" spans="1:10" ht="63" x14ac:dyDescent="0.2">
      <c r="A451">
        <v>448</v>
      </c>
      <c r="B451" s="136" t="s">
        <v>3679</v>
      </c>
      <c r="C451" s="126" t="s">
        <v>2052</v>
      </c>
      <c r="D451" s="126" t="s">
        <v>2409</v>
      </c>
      <c r="F451" s="126" t="s">
        <v>3900</v>
      </c>
      <c r="G451" s="129" t="s">
        <v>2926</v>
      </c>
      <c r="H451" s="126" t="s">
        <v>3020</v>
      </c>
      <c r="I451" s="133">
        <v>680000</v>
      </c>
      <c r="J451" s="135" t="s">
        <v>3231</v>
      </c>
    </row>
    <row r="452" spans="1:10" ht="47.25" x14ac:dyDescent="0.2">
      <c r="A452">
        <v>449</v>
      </c>
      <c r="B452" s="136" t="s">
        <v>3680</v>
      </c>
      <c r="C452" s="126" t="s">
        <v>2053</v>
      </c>
      <c r="D452" s="126" t="s">
        <v>2410</v>
      </c>
      <c r="F452" s="126" t="s">
        <v>3851</v>
      </c>
      <c r="G452" s="129" t="s">
        <v>2927</v>
      </c>
      <c r="H452" s="126" t="s">
        <v>3062</v>
      </c>
      <c r="I452" s="132" t="s">
        <v>3155</v>
      </c>
      <c r="J452" s="135" t="s">
        <v>3231</v>
      </c>
    </row>
    <row r="453" spans="1:10" ht="47.25" x14ac:dyDescent="0.2">
      <c r="A453">
        <v>450</v>
      </c>
      <c r="B453" s="136" t="s">
        <v>3681</v>
      </c>
      <c r="C453" s="126" t="s">
        <v>2054</v>
      </c>
      <c r="D453" s="126" t="s">
        <v>2410</v>
      </c>
      <c r="F453" s="126" t="s">
        <v>3851</v>
      </c>
      <c r="G453" s="129" t="s">
        <v>2928</v>
      </c>
      <c r="H453" s="126" t="s">
        <v>3062</v>
      </c>
      <c r="I453" s="132" t="s">
        <v>3155</v>
      </c>
      <c r="J453" s="135" t="s">
        <v>3231</v>
      </c>
    </row>
    <row r="454" spans="1:10" ht="63" x14ac:dyDescent="0.2">
      <c r="A454">
        <v>451</v>
      </c>
      <c r="B454" s="136" t="s">
        <v>3682</v>
      </c>
      <c r="C454" s="126" t="s">
        <v>2055</v>
      </c>
      <c r="D454" s="126" t="s">
        <v>2411</v>
      </c>
      <c r="F454" s="126" t="s">
        <v>3900</v>
      </c>
      <c r="G454" s="129" t="s">
        <v>2929</v>
      </c>
      <c r="H454" s="126" t="s">
        <v>444</v>
      </c>
      <c r="I454" s="133">
        <v>785600</v>
      </c>
      <c r="J454" s="135" t="s">
        <v>3231</v>
      </c>
    </row>
    <row r="455" spans="1:10" ht="47.25" x14ac:dyDescent="0.2">
      <c r="A455">
        <v>452</v>
      </c>
      <c r="B455" s="136" t="s">
        <v>3683</v>
      </c>
      <c r="C455" s="126" t="s">
        <v>2056</v>
      </c>
      <c r="D455" s="126" t="s">
        <v>2412</v>
      </c>
      <c r="F455" s="126" t="s">
        <v>3900</v>
      </c>
      <c r="G455" s="129" t="s">
        <v>2930</v>
      </c>
      <c r="H455" s="126" t="s">
        <v>3062</v>
      </c>
      <c r="I455" s="132" t="s">
        <v>3119</v>
      </c>
      <c r="J455" s="135" t="s">
        <v>3231</v>
      </c>
    </row>
    <row r="456" spans="1:10" ht="47.25" x14ac:dyDescent="0.2">
      <c r="A456">
        <v>453</v>
      </c>
      <c r="B456" s="136" t="s">
        <v>3684</v>
      </c>
      <c r="C456" s="126" t="s">
        <v>2057</v>
      </c>
      <c r="D456" s="126" t="s">
        <v>2352</v>
      </c>
      <c r="F456" s="126" t="s">
        <v>3844</v>
      </c>
      <c r="G456" s="129" t="s">
        <v>2868</v>
      </c>
      <c r="H456" s="126" t="s">
        <v>444</v>
      </c>
      <c r="I456" s="133">
        <v>1450000</v>
      </c>
      <c r="J456" s="135" t="s">
        <v>3231</v>
      </c>
    </row>
    <row r="457" spans="1:10" ht="31.5" x14ac:dyDescent="0.2">
      <c r="A457">
        <v>454</v>
      </c>
      <c r="B457" s="136" t="s">
        <v>3685</v>
      </c>
      <c r="C457" s="126" t="s">
        <v>2057</v>
      </c>
      <c r="D457" s="126" t="s">
        <v>2413</v>
      </c>
      <c r="F457" s="126" t="s">
        <v>3862</v>
      </c>
      <c r="G457" s="129" t="s">
        <v>2798</v>
      </c>
      <c r="H457" s="126" t="s">
        <v>2995</v>
      </c>
      <c r="I457" s="132" t="s">
        <v>3119</v>
      </c>
      <c r="J457" s="135" t="s">
        <v>3231</v>
      </c>
    </row>
    <row r="458" spans="1:10" ht="31.5" x14ac:dyDescent="0.2">
      <c r="A458">
        <v>455</v>
      </c>
      <c r="B458" s="136" t="s">
        <v>3686</v>
      </c>
      <c r="C458" s="126" t="s">
        <v>2058</v>
      </c>
      <c r="D458" s="126" t="s">
        <v>2414</v>
      </c>
      <c r="F458" s="126" t="s">
        <v>2471</v>
      </c>
      <c r="G458" s="129" t="s">
        <v>2931</v>
      </c>
      <c r="H458" s="126" t="s">
        <v>2987</v>
      </c>
      <c r="I458" s="133">
        <v>850000</v>
      </c>
      <c r="J458" s="135" t="s">
        <v>3231</v>
      </c>
    </row>
    <row r="459" spans="1:10" ht="47.25" x14ac:dyDescent="0.2">
      <c r="A459">
        <v>456</v>
      </c>
      <c r="B459" s="136" t="s">
        <v>3687</v>
      </c>
      <c r="C459" s="126" t="s">
        <v>2059</v>
      </c>
      <c r="D459" s="126" t="s">
        <v>2415</v>
      </c>
      <c r="E459" s="126"/>
      <c r="F459" s="126" t="s">
        <v>3896</v>
      </c>
      <c r="G459" s="129" t="s">
        <v>2932</v>
      </c>
      <c r="H459" s="126" t="s">
        <v>3000</v>
      </c>
      <c r="I459" s="132" t="s">
        <v>3211</v>
      </c>
      <c r="J459" s="135" t="s">
        <v>3231</v>
      </c>
    </row>
    <row r="460" spans="1:10" ht="94.5" x14ac:dyDescent="0.2">
      <c r="A460">
        <v>457</v>
      </c>
      <c r="B460" s="136" t="s">
        <v>3688</v>
      </c>
      <c r="C460" s="126" t="s">
        <v>2060</v>
      </c>
      <c r="D460" s="126" t="s">
        <v>2416</v>
      </c>
      <c r="F460" s="126" t="s">
        <v>3881</v>
      </c>
      <c r="G460" s="129" t="s">
        <v>2933</v>
      </c>
      <c r="H460" s="126" t="s">
        <v>3015</v>
      </c>
      <c r="I460" s="132" t="s">
        <v>3220</v>
      </c>
      <c r="J460" s="135" t="s">
        <v>3231</v>
      </c>
    </row>
    <row r="461" spans="1:10" ht="31.5" x14ac:dyDescent="0.2">
      <c r="A461">
        <v>458</v>
      </c>
      <c r="B461" s="136" t="s">
        <v>3689</v>
      </c>
      <c r="C461" s="126" t="s">
        <v>2061</v>
      </c>
      <c r="D461" s="126" t="s">
        <v>2417</v>
      </c>
      <c r="F461" s="126" t="s">
        <v>3874</v>
      </c>
      <c r="G461" s="129" t="s">
        <v>2934</v>
      </c>
      <c r="H461" s="126" t="s">
        <v>3020</v>
      </c>
      <c r="I461" s="133">
        <v>150000</v>
      </c>
      <c r="J461" s="135" t="s">
        <v>3231</v>
      </c>
    </row>
    <row r="462" spans="1:10" ht="47.25" x14ac:dyDescent="0.2">
      <c r="A462">
        <v>459</v>
      </c>
      <c r="B462" s="136" t="s">
        <v>3690</v>
      </c>
      <c r="C462" s="126" t="s">
        <v>2062</v>
      </c>
      <c r="D462" s="126" t="s">
        <v>2418</v>
      </c>
      <c r="F462" s="126" t="s">
        <v>3851</v>
      </c>
      <c r="G462" s="129" t="s">
        <v>2935</v>
      </c>
      <c r="H462" s="126" t="s">
        <v>3029</v>
      </c>
      <c r="I462" s="132" t="s">
        <v>3086</v>
      </c>
      <c r="J462" s="135" t="s">
        <v>3231</v>
      </c>
    </row>
    <row r="463" spans="1:10" ht="63" x14ac:dyDescent="0.2">
      <c r="A463">
        <v>460</v>
      </c>
      <c r="B463" s="136" t="s">
        <v>3691</v>
      </c>
      <c r="C463" s="126" t="s">
        <v>2063</v>
      </c>
      <c r="D463" s="126" t="s">
        <v>2419</v>
      </c>
      <c r="F463" s="126" t="s">
        <v>3844</v>
      </c>
      <c r="G463" s="129" t="s">
        <v>2936</v>
      </c>
      <c r="H463" s="126" t="s">
        <v>444</v>
      </c>
      <c r="I463" s="133">
        <v>700000</v>
      </c>
      <c r="J463" s="135" t="s">
        <v>3231</v>
      </c>
    </row>
    <row r="464" spans="1:10" ht="31.5" x14ac:dyDescent="0.2">
      <c r="A464">
        <v>461</v>
      </c>
      <c r="B464" s="136" t="s">
        <v>3692</v>
      </c>
      <c r="C464" s="126" t="s">
        <v>2064</v>
      </c>
      <c r="D464" s="126" t="s">
        <v>2420</v>
      </c>
      <c r="E464" s="126"/>
      <c r="F464" s="126" t="s">
        <v>2504</v>
      </c>
      <c r="G464" s="129" t="s">
        <v>2937</v>
      </c>
      <c r="H464" s="126" t="s">
        <v>3029</v>
      </c>
      <c r="I464" s="132" t="s">
        <v>3086</v>
      </c>
      <c r="J464" s="135" t="s">
        <v>3231</v>
      </c>
    </row>
    <row r="465" spans="1:10" ht="47.25" x14ac:dyDescent="0.2">
      <c r="A465">
        <v>462</v>
      </c>
      <c r="B465" s="136" t="s">
        <v>3693</v>
      </c>
      <c r="C465" s="126" t="s">
        <v>2065</v>
      </c>
      <c r="D465" s="126" t="s">
        <v>2421</v>
      </c>
      <c r="F465" s="126" t="s">
        <v>3851</v>
      </c>
      <c r="G465" s="129" t="s">
        <v>2938</v>
      </c>
      <c r="H465" s="126" t="s">
        <v>3030</v>
      </c>
      <c r="I465" s="132" t="s">
        <v>3211</v>
      </c>
      <c r="J465" s="135" t="s">
        <v>3231</v>
      </c>
    </row>
    <row r="466" spans="1:10" ht="141.75" x14ac:dyDescent="0.2">
      <c r="A466">
        <v>463</v>
      </c>
      <c r="B466" s="136" t="s">
        <v>3694</v>
      </c>
      <c r="C466" s="126" t="s">
        <v>2066</v>
      </c>
      <c r="D466" s="126" t="s">
        <v>2422</v>
      </c>
      <c r="F466" s="126" t="s">
        <v>3900</v>
      </c>
      <c r="G466" s="129" t="s">
        <v>2939</v>
      </c>
      <c r="H466" s="126" t="s">
        <v>3020</v>
      </c>
      <c r="I466" s="133">
        <v>2754000</v>
      </c>
      <c r="J466" s="135" t="s">
        <v>3231</v>
      </c>
    </row>
    <row r="467" spans="1:10" ht="63" x14ac:dyDescent="0.2">
      <c r="A467">
        <v>464</v>
      </c>
      <c r="B467" s="136" t="s">
        <v>3695</v>
      </c>
      <c r="C467" s="127" t="s">
        <v>2067</v>
      </c>
      <c r="D467" s="127" t="s">
        <v>2423</v>
      </c>
      <c r="F467" s="127" t="s">
        <v>3900</v>
      </c>
      <c r="G467" s="131" t="s">
        <v>2940</v>
      </c>
      <c r="H467" s="127" t="s">
        <v>3034</v>
      </c>
      <c r="I467" s="134" t="s">
        <v>3182</v>
      </c>
      <c r="J467" s="135" t="s">
        <v>3231</v>
      </c>
    </row>
    <row r="468" spans="1:10" ht="126" x14ac:dyDescent="0.2">
      <c r="A468">
        <v>465</v>
      </c>
      <c r="B468" s="136" t="s">
        <v>3696</v>
      </c>
      <c r="C468" s="126" t="s">
        <v>2068</v>
      </c>
      <c r="D468" s="126">
        <v>1064041000</v>
      </c>
      <c r="E468" s="126"/>
      <c r="F468" s="126" t="s">
        <v>3907</v>
      </c>
      <c r="G468" s="129" t="s">
        <v>3911</v>
      </c>
      <c r="H468" s="126" t="s">
        <v>2987</v>
      </c>
      <c r="I468" s="132" t="s">
        <v>3171</v>
      </c>
      <c r="J468" s="135" t="s">
        <v>3231</v>
      </c>
    </row>
    <row r="469" spans="1:10" ht="47.25" x14ac:dyDescent="0.2">
      <c r="A469">
        <v>466</v>
      </c>
      <c r="B469" s="136" t="s">
        <v>3697</v>
      </c>
      <c r="C469" s="126" t="s">
        <v>2069</v>
      </c>
      <c r="D469" s="126" t="s">
        <v>2424</v>
      </c>
      <c r="E469" s="126"/>
      <c r="F469" s="126" t="s">
        <v>2495</v>
      </c>
      <c r="G469" s="129" t="s">
        <v>2942</v>
      </c>
      <c r="H469" s="126" t="s">
        <v>444</v>
      </c>
      <c r="I469" s="133">
        <v>2000000</v>
      </c>
      <c r="J469" s="135" t="s">
        <v>3231</v>
      </c>
    </row>
    <row r="470" spans="1:10" ht="126" x14ac:dyDescent="0.2">
      <c r="A470">
        <v>467</v>
      </c>
      <c r="B470" s="136" t="s">
        <v>3698</v>
      </c>
      <c r="C470" s="126" t="s">
        <v>2070</v>
      </c>
      <c r="D470" s="126" t="s">
        <v>2424</v>
      </c>
      <c r="F470" s="126" t="s">
        <v>3863</v>
      </c>
      <c r="G470" s="129" t="s">
        <v>2941</v>
      </c>
      <c r="H470" s="126" t="s">
        <v>2992</v>
      </c>
      <c r="I470" s="133">
        <v>4624000</v>
      </c>
      <c r="J470" s="135" t="s">
        <v>3231</v>
      </c>
    </row>
    <row r="471" spans="1:10" ht="15.75" x14ac:dyDescent="0.2">
      <c r="A471">
        <v>468</v>
      </c>
      <c r="B471" s="136" t="s">
        <v>3699</v>
      </c>
      <c r="C471" s="127" t="s">
        <v>2071</v>
      </c>
      <c r="D471" s="127" t="s">
        <v>2425</v>
      </c>
      <c r="F471" s="127" t="s">
        <v>3900</v>
      </c>
      <c r="G471" s="131" t="s">
        <v>2943</v>
      </c>
      <c r="H471" s="127" t="s">
        <v>3023</v>
      </c>
      <c r="I471" s="134" t="s">
        <v>3211</v>
      </c>
      <c r="J471" s="135" t="s">
        <v>3231</v>
      </c>
    </row>
    <row r="472" spans="1:10" ht="47.25" x14ac:dyDescent="0.2">
      <c r="A472">
        <v>469</v>
      </c>
      <c r="B472" s="136" t="s">
        <v>3700</v>
      </c>
      <c r="C472" s="127" t="s">
        <v>2072</v>
      </c>
      <c r="D472" s="127" t="s">
        <v>2426</v>
      </c>
      <c r="F472" s="127" t="s">
        <v>3900</v>
      </c>
      <c r="G472" s="131" t="s">
        <v>2944</v>
      </c>
      <c r="H472" s="127" t="s">
        <v>3023</v>
      </c>
      <c r="I472" s="134" t="s">
        <v>3221</v>
      </c>
      <c r="J472" s="135" t="s">
        <v>3231</v>
      </c>
    </row>
    <row r="473" spans="1:10" ht="47.25" x14ac:dyDescent="0.2">
      <c r="A473">
        <v>470</v>
      </c>
      <c r="B473" s="136" t="s">
        <v>3701</v>
      </c>
      <c r="C473" s="126" t="s">
        <v>2073</v>
      </c>
      <c r="D473" s="126" t="s">
        <v>2427</v>
      </c>
      <c r="F473" s="126" t="s">
        <v>3900</v>
      </c>
      <c r="G473" s="129" t="s">
        <v>2945</v>
      </c>
      <c r="H473" s="126" t="s">
        <v>3023</v>
      </c>
      <c r="I473" s="132" t="s">
        <v>3171</v>
      </c>
      <c r="J473" s="135" t="s">
        <v>3231</v>
      </c>
    </row>
    <row r="474" spans="1:10" ht="31.5" x14ac:dyDescent="0.2">
      <c r="A474">
        <v>471</v>
      </c>
      <c r="B474" s="136" t="s">
        <v>3702</v>
      </c>
      <c r="C474" s="126" t="s">
        <v>2074</v>
      </c>
      <c r="D474" s="126" t="s">
        <v>2428</v>
      </c>
      <c r="F474" s="126" t="s">
        <v>3851</v>
      </c>
      <c r="G474" s="129" t="s">
        <v>2946</v>
      </c>
      <c r="H474" s="126" t="s">
        <v>3024</v>
      </c>
      <c r="I474" s="132" t="s">
        <v>3222</v>
      </c>
      <c r="J474" s="135" t="s">
        <v>3231</v>
      </c>
    </row>
    <row r="475" spans="1:10" ht="31.5" x14ac:dyDescent="0.2">
      <c r="A475">
        <v>472</v>
      </c>
      <c r="B475" s="136" t="s">
        <v>3703</v>
      </c>
      <c r="C475" s="126" t="s">
        <v>2075</v>
      </c>
      <c r="D475" s="126" t="s">
        <v>2429</v>
      </c>
      <c r="F475" s="126" t="s">
        <v>3851</v>
      </c>
      <c r="G475" s="129" t="s">
        <v>2947</v>
      </c>
      <c r="H475" s="126" t="s">
        <v>3030</v>
      </c>
      <c r="I475" s="132" t="s">
        <v>3119</v>
      </c>
      <c r="J475" s="135" t="s">
        <v>3231</v>
      </c>
    </row>
    <row r="476" spans="1:10" ht="63" x14ac:dyDescent="0.2">
      <c r="A476">
        <v>473</v>
      </c>
      <c r="B476" s="136" t="s">
        <v>3704</v>
      </c>
      <c r="C476" s="126" t="s">
        <v>2075</v>
      </c>
      <c r="D476" s="126" t="s">
        <v>2430</v>
      </c>
      <c r="F476" s="126" t="s">
        <v>3900</v>
      </c>
      <c r="G476" s="129" t="s">
        <v>2948</v>
      </c>
      <c r="H476" s="126" t="s">
        <v>3048</v>
      </c>
      <c r="I476" s="133">
        <v>436200</v>
      </c>
      <c r="J476" s="135" t="s">
        <v>3231</v>
      </c>
    </row>
    <row r="477" spans="1:10" ht="47.25" x14ac:dyDescent="0.2">
      <c r="A477">
        <v>474</v>
      </c>
      <c r="B477" s="136" t="s">
        <v>3705</v>
      </c>
      <c r="C477" s="126" t="s">
        <v>2076</v>
      </c>
      <c r="D477" s="126" t="s">
        <v>2431</v>
      </c>
      <c r="F477" s="126" t="s">
        <v>3844</v>
      </c>
      <c r="G477" s="129" t="s">
        <v>2949</v>
      </c>
      <c r="H477" s="126" t="s">
        <v>444</v>
      </c>
      <c r="I477" s="133">
        <v>350000</v>
      </c>
      <c r="J477" s="135" t="s">
        <v>3231</v>
      </c>
    </row>
    <row r="478" spans="1:10" ht="78.75" x14ac:dyDescent="0.2">
      <c r="A478">
        <v>475</v>
      </c>
      <c r="B478" s="136" t="s">
        <v>3706</v>
      </c>
      <c r="C478" s="126" t="s">
        <v>2077</v>
      </c>
      <c r="D478" s="126" t="s">
        <v>2432</v>
      </c>
      <c r="F478" s="126" t="s">
        <v>2471</v>
      </c>
      <c r="G478" s="129" t="s">
        <v>2950</v>
      </c>
      <c r="H478" s="126" t="s">
        <v>3047</v>
      </c>
      <c r="I478" s="132" t="s">
        <v>3110</v>
      </c>
      <c r="J478" s="135" t="s">
        <v>3231</v>
      </c>
    </row>
    <row r="479" spans="1:10" ht="94.5" x14ac:dyDescent="0.2">
      <c r="A479">
        <v>476</v>
      </c>
      <c r="B479" s="136" t="s">
        <v>3707</v>
      </c>
      <c r="C479" s="126" t="s">
        <v>2078</v>
      </c>
      <c r="D479" s="126" t="s">
        <v>518</v>
      </c>
      <c r="F479" s="126" t="s">
        <v>2476</v>
      </c>
      <c r="G479" s="129" t="s">
        <v>2951</v>
      </c>
      <c r="H479" s="126" t="s">
        <v>3063</v>
      </c>
      <c r="I479" s="132" t="s">
        <v>3134</v>
      </c>
      <c r="J479" s="135" t="s">
        <v>3231</v>
      </c>
    </row>
    <row r="480" spans="1:10" ht="47.25" x14ac:dyDescent="0.2">
      <c r="A480">
        <v>477</v>
      </c>
      <c r="B480" s="136" t="s">
        <v>3708</v>
      </c>
      <c r="C480" s="126" t="s">
        <v>2079</v>
      </c>
      <c r="D480" s="126" t="s">
        <v>2433</v>
      </c>
      <c r="F480" s="126" t="s">
        <v>3900</v>
      </c>
      <c r="G480" s="129" t="s">
        <v>2952</v>
      </c>
      <c r="H480" s="126" t="s">
        <v>3041</v>
      </c>
      <c r="I480" s="132" t="s">
        <v>3119</v>
      </c>
      <c r="J480" s="135" t="s">
        <v>3231</v>
      </c>
    </row>
    <row r="481" spans="1:10" ht="78.75" x14ac:dyDescent="0.2">
      <c r="A481">
        <v>478</v>
      </c>
      <c r="B481" s="136" t="s">
        <v>3709</v>
      </c>
      <c r="C481" s="126" t="s">
        <v>2080</v>
      </c>
      <c r="D481" s="126" t="s">
        <v>2434</v>
      </c>
      <c r="F481" s="126" t="s">
        <v>2491</v>
      </c>
      <c r="G481" s="129" t="s">
        <v>2953</v>
      </c>
      <c r="H481" s="126" t="s">
        <v>2995</v>
      </c>
      <c r="I481" s="132" t="s">
        <v>3194</v>
      </c>
      <c r="J481" s="135" t="s">
        <v>3231</v>
      </c>
    </row>
    <row r="482" spans="1:10" ht="47.25" x14ac:dyDescent="0.2">
      <c r="A482">
        <v>479</v>
      </c>
      <c r="B482" s="136" t="s">
        <v>3710</v>
      </c>
      <c r="C482" s="127" t="s">
        <v>2081</v>
      </c>
      <c r="D482" s="127" t="s">
        <v>2435</v>
      </c>
      <c r="F482" s="127" t="s">
        <v>3900</v>
      </c>
      <c r="G482" s="131" t="s">
        <v>2954</v>
      </c>
      <c r="H482" s="127" t="s">
        <v>3023</v>
      </c>
      <c r="I482" s="134" t="s">
        <v>3190</v>
      </c>
      <c r="J482" s="135" t="s">
        <v>3231</v>
      </c>
    </row>
    <row r="483" spans="1:10" ht="31.5" x14ac:dyDescent="0.2">
      <c r="A483">
        <v>480</v>
      </c>
      <c r="B483" s="136" t="s">
        <v>3711</v>
      </c>
      <c r="C483" s="126" t="s">
        <v>2082</v>
      </c>
      <c r="D483" s="126" t="s">
        <v>2436</v>
      </c>
      <c r="F483" s="126" t="s">
        <v>3900</v>
      </c>
      <c r="G483" s="129" t="s">
        <v>2955</v>
      </c>
      <c r="H483" s="126" t="s">
        <v>3040</v>
      </c>
      <c r="I483" s="132" t="s">
        <v>3147</v>
      </c>
      <c r="J483" s="135" t="s">
        <v>3231</v>
      </c>
    </row>
    <row r="484" spans="1:10" ht="47.25" x14ac:dyDescent="0.2">
      <c r="A484">
        <v>481</v>
      </c>
      <c r="B484" s="136" t="s">
        <v>3712</v>
      </c>
      <c r="C484" s="126" t="s">
        <v>2083</v>
      </c>
      <c r="D484" s="126" t="s">
        <v>2437</v>
      </c>
      <c r="F484" s="126" t="s">
        <v>3900</v>
      </c>
      <c r="G484" s="129" t="s">
        <v>2956</v>
      </c>
      <c r="H484" s="126" t="s">
        <v>3023</v>
      </c>
      <c r="I484" s="132" t="s">
        <v>3209</v>
      </c>
      <c r="J484" s="135" t="s">
        <v>3231</v>
      </c>
    </row>
    <row r="485" spans="1:10" ht="31.5" x14ac:dyDescent="0.2">
      <c r="A485">
        <v>482</v>
      </c>
      <c r="B485" s="136" t="s">
        <v>3713</v>
      </c>
      <c r="C485" s="126" t="s">
        <v>2084</v>
      </c>
      <c r="D485" s="126" t="s">
        <v>2438</v>
      </c>
      <c r="F485" s="126" t="s">
        <v>3900</v>
      </c>
      <c r="G485" s="129" t="s">
        <v>2957</v>
      </c>
      <c r="H485" s="126" t="s">
        <v>3033</v>
      </c>
      <c r="I485" s="132" t="s">
        <v>3190</v>
      </c>
      <c r="J485" s="135" t="s">
        <v>3231</v>
      </c>
    </row>
    <row r="486" spans="1:10" ht="31.5" x14ac:dyDescent="0.2">
      <c r="A486">
        <v>483</v>
      </c>
      <c r="B486" s="136" t="s">
        <v>3714</v>
      </c>
      <c r="C486" s="126" t="s">
        <v>2085</v>
      </c>
      <c r="D486" s="126" t="s">
        <v>2439</v>
      </c>
      <c r="F486" s="126" t="s">
        <v>3900</v>
      </c>
      <c r="G486" s="129" t="s">
        <v>2958</v>
      </c>
      <c r="H486" s="126" t="s">
        <v>3064</v>
      </c>
      <c r="I486" s="132" t="s">
        <v>3086</v>
      </c>
      <c r="J486" s="135" t="s">
        <v>3231</v>
      </c>
    </row>
    <row r="487" spans="1:10" ht="31.5" x14ac:dyDescent="0.2">
      <c r="A487">
        <v>484</v>
      </c>
      <c r="B487" s="136" t="s">
        <v>3715</v>
      </c>
      <c r="C487" s="126" t="s">
        <v>2086</v>
      </c>
      <c r="D487" s="126" t="s">
        <v>2440</v>
      </c>
      <c r="F487" s="126" t="s">
        <v>3843</v>
      </c>
      <c r="G487" s="129" t="s">
        <v>2959</v>
      </c>
      <c r="H487" s="126" t="s">
        <v>3065</v>
      </c>
      <c r="I487" s="132" t="s">
        <v>3171</v>
      </c>
      <c r="J487" s="135" t="s">
        <v>3231</v>
      </c>
    </row>
    <row r="488" spans="1:10" ht="63" x14ac:dyDescent="0.2">
      <c r="A488">
        <v>485</v>
      </c>
      <c r="B488" s="136" t="s">
        <v>3716</v>
      </c>
      <c r="C488" s="126" t="s">
        <v>2087</v>
      </c>
      <c r="D488" s="126" t="s">
        <v>2441</v>
      </c>
      <c r="F488" s="126" t="s">
        <v>3871</v>
      </c>
      <c r="G488" s="129" t="s">
        <v>2960</v>
      </c>
      <c r="H488" s="126" t="s">
        <v>2993</v>
      </c>
      <c r="I488" s="132" t="s">
        <v>3223</v>
      </c>
      <c r="J488" s="135" t="s">
        <v>3231</v>
      </c>
    </row>
    <row r="489" spans="1:10" ht="47.25" x14ac:dyDescent="0.2">
      <c r="A489">
        <v>486</v>
      </c>
      <c r="B489" s="136" t="s">
        <v>3717</v>
      </c>
      <c r="C489" s="126" t="s">
        <v>2088</v>
      </c>
      <c r="D489" s="126" t="s">
        <v>2442</v>
      </c>
      <c r="E489" s="126"/>
      <c r="F489" s="126" t="s">
        <v>3909</v>
      </c>
      <c r="G489" s="129" t="s">
        <v>3910</v>
      </c>
      <c r="H489" s="126" t="s">
        <v>3020</v>
      </c>
      <c r="I489" s="133">
        <v>300000</v>
      </c>
      <c r="J489" s="135" t="s">
        <v>3231</v>
      </c>
    </row>
    <row r="490" spans="1:10" ht="47.25" x14ac:dyDescent="0.2">
      <c r="A490">
        <v>487</v>
      </c>
      <c r="B490" s="136" t="s">
        <v>3718</v>
      </c>
      <c r="C490" s="126" t="s">
        <v>2068</v>
      </c>
      <c r="D490" s="126" t="s">
        <v>2443</v>
      </c>
      <c r="F490" s="126" t="s">
        <v>3900</v>
      </c>
      <c r="G490" s="129" t="s">
        <v>2868</v>
      </c>
      <c r="H490" s="126" t="s">
        <v>444</v>
      </c>
      <c r="I490" s="133">
        <v>150000</v>
      </c>
      <c r="J490" s="135" t="s">
        <v>3231</v>
      </c>
    </row>
    <row r="491" spans="1:10" ht="94.5" x14ac:dyDescent="0.2">
      <c r="A491">
        <v>488</v>
      </c>
      <c r="B491" s="136" t="s">
        <v>3719</v>
      </c>
      <c r="C491" s="126" t="s">
        <v>2089</v>
      </c>
      <c r="D491" s="126" t="s">
        <v>2444</v>
      </c>
      <c r="F491" s="126" t="s">
        <v>3863</v>
      </c>
      <c r="G491" s="129" t="s">
        <v>2961</v>
      </c>
      <c r="H491" s="126" t="s">
        <v>3020</v>
      </c>
      <c r="I491" s="133">
        <v>4085000</v>
      </c>
      <c r="J491" s="135" t="s">
        <v>3231</v>
      </c>
    </row>
    <row r="492" spans="1:10" ht="63" x14ac:dyDescent="0.2">
      <c r="A492">
        <v>489</v>
      </c>
      <c r="B492" s="136" t="s">
        <v>3720</v>
      </c>
      <c r="C492" s="127" t="s">
        <v>2090</v>
      </c>
      <c r="D492" s="127" t="s">
        <v>2445</v>
      </c>
      <c r="F492" s="127" t="s">
        <v>3900</v>
      </c>
      <c r="G492" s="131" t="s">
        <v>2962</v>
      </c>
      <c r="H492" s="127" t="s">
        <v>3022</v>
      </c>
      <c r="I492" s="134" t="s">
        <v>3076</v>
      </c>
      <c r="J492" s="135" t="s">
        <v>3231</v>
      </c>
    </row>
    <row r="493" spans="1:10" ht="63" x14ac:dyDescent="0.2">
      <c r="A493">
        <v>490</v>
      </c>
      <c r="B493" s="136" t="s">
        <v>3721</v>
      </c>
      <c r="C493" s="126" t="s">
        <v>2091</v>
      </c>
      <c r="D493" s="126" t="s">
        <v>2446</v>
      </c>
      <c r="F493" s="126" t="s">
        <v>3900</v>
      </c>
      <c r="G493" s="129" t="s">
        <v>2963</v>
      </c>
      <c r="H493" s="126" t="s">
        <v>3036</v>
      </c>
      <c r="I493" s="132" t="s">
        <v>3171</v>
      </c>
      <c r="J493" s="135" t="s">
        <v>3231</v>
      </c>
    </row>
    <row r="494" spans="1:10" ht="78.75" x14ac:dyDescent="0.2">
      <c r="A494">
        <v>491</v>
      </c>
      <c r="B494" s="136" t="s">
        <v>3722</v>
      </c>
      <c r="C494" s="126" t="s">
        <v>2092</v>
      </c>
      <c r="D494" s="126" t="s">
        <v>2382</v>
      </c>
      <c r="E494" s="126"/>
      <c r="F494" s="126" t="s">
        <v>2506</v>
      </c>
      <c r="G494" s="129" t="s">
        <v>2964</v>
      </c>
      <c r="H494" s="126" t="s">
        <v>3047</v>
      </c>
      <c r="I494" s="132" t="s">
        <v>3224</v>
      </c>
      <c r="J494" s="135" t="s">
        <v>3231</v>
      </c>
    </row>
    <row r="495" spans="1:10" ht="47.25" x14ac:dyDescent="0.2">
      <c r="A495">
        <v>492</v>
      </c>
      <c r="B495" s="136" t="s">
        <v>3723</v>
      </c>
      <c r="C495" s="126" t="s">
        <v>2093</v>
      </c>
      <c r="D495" s="126" t="s">
        <v>518</v>
      </c>
      <c r="F495" s="126" t="s">
        <v>2471</v>
      </c>
      <c r="G495" s="129" t="s">
        <v>2965</v>
      </c>
      <c r="H495" s="126" t="s">
        <v>3000</v>
      </c>
      <c r="I495" s="133">
        <v>350000</v>
      </c>
      <c r="J495" s="135" t="s">
        <v>3231</v>
      </c>
    </row>
    <row r="496" spans="1:10" ht="47.25" x14ac:dyDescent="0.2">
      <c r="A496">
        <v>493</v>
      </c>
      <c r="B496" s="136" t="s">
        <v>3724</v>
      </c>
      <c r="C496" s="126" t="s">
        <v>2094</v>
      </c>
      <c r="D496" s="126" t="s">
        <v>2447</v>
      </c>
      <c r="F496" s="126" t="s">
        <v>2471</v>
      </c>
      <c r="G496" s="129" t="s">
        <v>2966</v>
      </c>
      <c r="H496" s="126" t="s">
        <v>2987</v>
      </c>
      <c r="I496" s="133">
        <v>220000</v>
      </c>
      <c r="J496" s="135" t="s">
        <v>3231</v>
      </c>
    </row>
    <row r="497" spans="1:10" ht="31.5" x14ac:dyDescent="0.2">
      <c r="A497">
        <v>494</v>
      </c>
      <c r="B497" s="136" t="s">
        <v>3725</v>
      </c>
      <c r="C497" s="126" t="s">
        <v>2095</v>
      </c>
      <c r="D497" s="126" t="s">
        <v>2448</v>
      </c>
      <c r="F497" s="126" t="s">
        <v>2491</v>
      </c>
      <c r="G497" s="129" t="s">
        <v>2967</v>
      </c>
      <c r="H497" s="126" t="s">
        <v>2995</v>
      </c>
      <c r="I497" s="132" t="s">
        <v>3225</v>
      </c>
      <c r="J497" s="135" t="s">
        <v>3231</v>
      </c>
    </row>
    <row r="498" spans="1:10" ht="78.75" x14ac:dyDescent="0.2">
      <c r="A498">
        <v>495</v>
      </c>
      <c r="B498" s="136" t="s">
        <v>3726</v>
      </c>
      <c r="C498" s="126" t="s">
        <v>2096</v>
      </c>
      <c r="D498" s="126" t="s">
        <v>2449</v>
      </c>
      <c r="F498" s="126" t="s">
        <v>3900</v>
      </c>
      <c r="G498" s="129" t="s">
        <v>2968</v>
      </c>
      <c r="H498" s="126" t="s">
        <v>3020</v>
      </c>
      <c r="I498" s="133">
        <v>5430000</v>
      </c>
      <c r="J498" s="135" t="s">
        <v>3231</v>
      </c>
    </row>
    <row r="499" spans="1:10" ht="47.25" x14ac:dyDescent="0.2">
      <c r="A499">
        <v>496</v>
      </c>
      <c r="B499" s="136" t="s">
        <v>3727</v>
      </c>
      <c r="C499" s="126" t="s">
        <v>2097</v>
      </c>
      <c r="D499" s="126" t="s">
        <v>2450</v>
      </c>
      <c r="E499" s="126"/>
      <c r="F499" s="126" t="s">
        <v>3907</v>
      </c>
      <c r="G499" s="129" t="s">
        <v>3908</v>
      </c>
      <c r="H499" s="126" t="s">
        <v>444</v>
      </c>
      <c r="I499" s="133">
        <v>2400000</v>
      </c>
      <c r="J499" s="135" t="s">
        <v>3231</v>
      </c>
    </row>
    <row r="500" spans="1:10" ht="31.5" x14ac:dyDescent="0.2">
      <c r="A500">
        <v>497</v>
      </c>
      <c r="B500" s="136" t="s">
        <v>3728</v>
      </c>
      <c r="C500" s="126" t="s">
        <v>2098</v>
      </c>
      <c r="D500" s="126" t="s">
        <v>518</v>
      </c>
      <c r="F500" s="126" t="s">
        <v>2471</v>
      </c>
      <c r="G500" s="129" t="s">
        <v>2969</v>
      </c>
      <c r="H500" s="126" t="s">
        <v>2991</v>
      </c>
      <c r="I500" s="133">
        <v>5000</v>
      </c>
      <c r="J500" s="135" t="s">
        <v>3231</v>
      </c>
    </row>
    <row r="501" spans="1:10" ht="47.25" x14ac:dyDescent="0.2">
      <c r="A501">
        <v>498</v>
      </c>
      <c r="B501" s="136" t="s">
        <v>3729</v>
      </c>
      <c r="C501" s="126" t="s">
        <v>2099</v>
      </c>
      <c r="D501" s="126" t="s">
        <v>518</v>
      </c>
      <c r="F501" s="126" t="s">
        <v>2476</v>
      </c>
      <c r="G501" s="129" t="s">
        <v>2970</v>
      </c>
      <c r="H501" s="126" t="s">
        <v>3023</v>
      </c>
      <c r="I501" s="132" t="s">
        <v>3147</v>
      </c>
      <c r="J501" s="135" t="s">
        <v>3231</v>
      </c>
    </row>
    <row r="502" spans="1:10" ht="63" x14ac:dyDescent="0.2">
      <c r="A502">
        <v>499</v>
      </c>
      <c r="B502" s="136" t="s">
        <v>3730</v>
      </c>
      <c r="C502" s="126" t="s">
        <v>2100</v>
      </c>
      <c r="D502" s="126" t="s">
        <v>2451</v>
      </c>
      <c r="F502" s="126" t="s">
        <v>3900</v>
      </c>
      <c r="G502" s="129" t="s">
        <v>2971</v>
      </c>
      <c r="H502" s="126" t="s">
        <v>3020</v>
      </c>
      <c r="I502" s="133">
        <v>2177000</v>
      </c>
      <c r="J502" s="135" t="s">
        <v>3231</v>
      </c>
    </row>
    <row r="503" spans="1:10" ht="31.5" x14ac:dyDescent="0.2">
      <c r="A503">
        <v>500</v>
      </c>
      <c r="B503" s="136" t="s">
        <v>3731</v>
      </c>
      <c r="C503" s="126" t="s">
        <v>2101</v>
      </c>
      <c r="D503" s="126" t="s">
        <v>2452</v>
      </c>
      <c r="F503" s="126" t="s">
        <v>3851</v>
      </c>
      <c r="G503" s="129" t="s">
        <v>2972</v>
      </c>
      <c r="H503" s="126" t="s">
        <v>3062</v>
      </c>
      <c r="I503" s="132" t="s">
        <v>3086</v>
      </c>
      <c r="J503" s="135" t="s">
        <v>3231</v>
      </c>
    </row>
    <row r="504" spans="1:10" ht="47.25" x14ac:dyDescent="0.2">
      <c r="A504">
        <v>501</v>
      </c>
      <c r="B504" s="136" t="s">
        <v>3732</v>
      </c>
      <c r="C504" s="126" t="s">
        <v>2102</v>
      </c>
      <c r="D504" s="126" t="s">
        <v>518</v>
      </c>
      <c r="F504" s="126" t="s">
        <v>2471</v>
      </c>
      <c r="G504" s="129" t="s">
        <v>2973</v>
      </c>
      <c r="H504" s="126" t="s">
        <v>3030</v>
      </c>
      <c r="I504" s="132" t="s">
        <v>3226</v>
      </c>
      <c r="J504" s="135" t="s">
        <v>3231</v>
      </c>
    </row>
    <row r="505" spans="1:10" ht="31.5" x14ac:dyDescent="0.2">
      <c r="A505">
        <v>502</v>
      </c>
      <c r="B505" s="136" t="s">
        <v>3733</v>
      </c>
      <c r="C505" s="126" t="s">
        <v>2103</v>
      </c>
      <c r="D505" s="126" t="s">
        <v>2453</v>
      </c>
      <c r="F505" s="126" t="s">
        <v>3844</v>
      </c>
      <c r="G505" s="129" t="s">
        <v>2974</v>
      </c>
      <c r="H505" s="126" t="s">
        <v>444</v>
      </c>
      <c r="I505" s="133">
        <v>600000</v>
      </c>
      <c r="J505" s="135" t="s">
        <v>3231</v>
      </c>
    </row>
    <row r="506" spans="1:10" ht="15.75" x14ac:dyDescent="0.2">
      <c r="A506">
        <v>503</v>
      </c>
      <c r="B506" s="136" t="s">
        <v>3734</v>
      </c>
      <c r="C506" s="126" t="s">
        <v>2104</v>
      </c>
      <c r="D506" s="126" t="s">
        <v>2454</v>
      </c>
      <c r="F506" s="126" t="s">
        <v>2491</v>
      </c>
      <c r="G506" s="129" t="s">
        <v>2975</v>
      </c>
      <c r="H506" s="126" t="s">
        <v>2995</v>
      </c>
      <c r="I506" s="132" t="s">
        <v>3154</v>
      </c>
      <c r="J506" s="135" t="s">
        <v>3231</v>
      </c>
    </row>
    <row r="507" spans="1:10" ht="47.25" x14ac:dyDescent="0.2">
      <c r="A507">
        <v>504</v>
      </c>
      <c r="B507" s="136" t="s">
        <v>3735</v>
      </c>
      <c r="C507" s="127" t="s">
        <v>2105</v>
      </c>
      <c r="D507" s="127">
        <v>90279</v>
      </c>
      <c r="F507" s="127" t="s">
        <v>3900</v>
      </c>
      <c r="G507" s="131" t="s">
        <v>2976</v>
      </c>
      <c r="H507" s="127" t="s">
        <v>3026</v>
      </c>
      <c r="I507" s="134" t="s">
        <v>3107</v>
      </c>
      <c r="J507" s="135" t="s">
        <v>3231</v>
      </c>
    </row>
    <row r="508" spans="1:10" ht="47.25" x14ac:dyDescent="0.2">
      <c r="A508">
        <v>505</v>
      </c>
      <c r="B508" s="136" t="s">
        <v>3736</v>
      </c>
      <c r="C508" s="126" t="s">
        <v>2106</v>
      </c>
      <c r="D508" s="126" t="s">
        <v>2455</v>
      </c>
      <c r="F508" s="126" t="s">
        <v>3844</v>
      </c>
      <c r="G508" s="129" t="s">
        <v>2977</v>
      </c>
      <c r="H508" s="126" t="s">
        <v>3021</v>
      </c>
      <c r="I508" s="133">
        <v>950000</v>
      </c>
      <c r="J508" s="135" t="s">
        <v>3231</v>
      </c>
    </row>
    <row r="509" spans="1:10" ht="31.5" x14ac:dyDescent="0.2">
      <c r="A509">
        <v>506</v>
      </c>
      <c r="B509" s="136" t="s">
        <v>3737</v>
      </c>
      <c r="C509" s="126" t="s">
        <v>2106</v>
      </c>
      <c r="D509" s="126" t="s">
        <v>2456</v>
      </c>
      <c r="F509" s="126" t="s">
        <v>3862</v>
      </c>
      <c r="G509" s="129" t="s">
        <v>2798</v>
      </c>
      <c r="H509" s="126" t="s">
        <v>2995</v>
      </c>
      <c r="I509" s="132" t="s">
        <v>3154</v>
      </c>
      <c r="J509" s="135" t="s">
        <v>3231</v>
      </c>
    </row>
    <row r="510" spans="1:10" ht="31.5" x14ac:dyDescent="0.2">
      <c r="A510">
        <v>507</v>
      </c>
      <c r="B510" s="136" t="s">
        <v>3738</v>
      </c>
      <c r="C510" s="126" t="s">
        <v>2106</v>
      </c>
      <c r="D510" s="126" t="s">
        <v>2457</v>
      </c>
      <c r="F510" s="126" t="s">
        <v>3900</v>
      </c>
      <c r="G510" s="129" t="s">
        <v>2978</v>
      </c>
      <c r="H510" s="126" t="s">
        <v>3026</v>
      </c>
      <c r="I510" s="132" t="s">
        <v>3171</v>
      </c>
      <c r="J510" s="135" t="s">
        <v>3231</v>
      </c>
    </row>
    <row r="511" spans="1:10" ht="47.25" x14ac:dyDescent="0.2">
      <c r="A511">
        <v>508</v>
      </c>
      <c r="B511" s="136" t="s">
        <v>3739</v>
      </c>
      <c r="C511" s="126" t="s">
        <v>2107</v>
      </c>
      <c r="D511" s="126" t="s">
        <v>2458</v>
      </c>
      <c r="F511" s="126" t="s">
        <v>3900</v>
      </c>
      <c r="G511" s="129" t="s">
        <v>2979</v>
      </c>
      <c r="H511" s="126" t="s">
        <v>3066</v>
      </c>
      <c r="I511" s="132" t="s">
        <v>3129</v>
      </c>
      <c r="J511" s="135" t="s">
        <v>3231</v>
      </c>
    </row>
    <row r="512" spans="1:10" ht="31.5" x14ac:dyDescent="0.2">
      <c r="A512">
        <v>509</v>
      </c>
      <c r="B512" s="136" t="s">
        <v>3740</v>
      </c>
      <c r="C512" s="126" t="s">
        <v>2108</v>
      </c>
      <c r="D512" s="126" t="s">
        <v>2459</v>
      </c>
      <c r="F512" s="126" t="s">
        <v>3900</v>
      </c>
      <c r="G512" s="129" t="s">
        <v>2980</v>
      </c>
      <c r="H512" s="126" t="s">
        <v>3067</v>
      </c>
      <c r="I512" s="132" t="s">
        <v>3227</v>
      </c>
      <c r="J512" s="135" t="s">
        <v>3231</v>
      </c>
    </row>
    <row r="513" spans="1:10" ht="31.5" x14ac:dyDescent="0.2">
      <c r="A513">
        <v>510</v>
      </c>
      <c r="B513" s="136" t="s">
        <v>3741</v>
      </c>
      <c r="C513" s="127" t="s">
        <v>2109</v>
      </c>
      <c r="D513" s="127" t="s">
        <v>2460</v>
      </c>
      <c r="F513" s="127" t="s">
        <v>3900</v>
      </c>
      <c r="G513" s="131" t="s">
        <v>3845</v>
      </c>
      <c r="H513" s="127" t="s">
        <v>3036</v>
      </c>
      <c r="I513" s="134" t="s">
        <v>3086</v>
      </c>
      <c r="J513" s="135" t="s">
        <v>3231</v>
      </c>
    </row>
    <row r="514" spans="1:10" ht="63" x14ac:dyDescent="0.2">
      <c r="A514">
        <v>511</v>
      </c>
      <c r="B514" s="136" t="s">
        <v>3742</v>
      </c>
      <c r="C514" s="126" t="s">
        <v>2110</v>
      </c>
      <c r="D514" s="126" t="s">
        <v>2461</v>
      </c>
      <c r="F514" s="126" t="s">
        <v>3900</v>
      </c>
      <c r="G514" s="129" t="s">
        <v>3846</v>
      </c>
      <c r="H514" s="126" t="s">
        <v>3020</v>
      </c>
      <c r="I514" s="133">
        <v>2000000</v>
      </c>
      <c r="J514" s="135" t="s">
        <v>3231</v>
      </c>
    </row>
    <row r="515" spans="1:10" ht="47.25" x14ac:dyDescent="0.2">
      <c r="A515">
        <v>512</v>
      </c>
      <c r="B515" s="136" t="s">
        <v>3743</v>
      </c>
      <c r="C515" s="126" t="s">
        <v>2111</v>
      </c>
      <c r="D515" s="126" t="s">
        <v>2462</v>
      </c>
      <c r="F515" s="126" t="s">
        <v>3900</v>
      </c>
      <c r="G515" s="129" t="s">
        <v>2981</v>
      </c>
      <c r="H515" s="126" t="s">
        <v>2992</v>
      </c>
      <c r="I515" s="133">
        <v>1920000</v>
      </c>
      <c r="J515" s="135" t="s">
        <v>3231</v>
      </c>
    </row>
    <row r="516" spans="1:10" ht="63" x14ac:dyDescent="0.2">
      <c r="A516">
        <v>513</v>
      </c>
      <c r="B516" s="136" t="s">
        <v>3744</v>
      </c>
      <c r="C516" s="126" t="s">
        <v>2112</v>
      </c>
      <c r="D516" s="126" t="s">
        <v>2463</v>
      </c>
      <c r="F516" s="126" t="s">
        <v>2471</v>
      </c>
      <c r="G516" s="129" t="s">
        <v>2982</v>
      </c>
      <c r="H516" s="126" t="s">
        <v>444</v>
      </c>
      <c r="I516" s="132" t="s">
        <v>3098</v>
      </c>
      <c r="J516" s="135" t="s">
        <v>3231</v>
      </c>
    </row>
    <row r="517" spans="1:10" ht="31.5" x14ac:dyDescent="0.2">
      <c r="A517">
        <v>514</v>
      </c>
      <c r="B517" s="136" t="s">
        <v>3745</v>
      </c>
      <c r="C517" s="126" t="s">
        <v>2113</v>
      </c>
      <c r="D517" s="126" t="s">
        <v>2464</v>
      </c>
      <c r="F517" s="126" t="s">
        <v>3851</v>
      </c>
      <c r="G517" s="129" t="s">
        <v>2983</v>
      </c>
      <c r="H517" s="126" t="s">
        <v>3062</v>
      </c>
      <c r="I517" s="132" t="s">
        <v>3119</v>
      </c>
      <c r="J517" s="135" t="s">
        <v>3231</v>
      </c>
    </row>
    <row r="518" spans="1:10" ht="78.75" x14ac:dyDescent="0.2">
      <c r="A518">
        <v>515</v>
      </c>
      <c r="B518" s="136" t="s">
        <v>3746</v>
      </c>
      <c r="C518" s="126" t="s">
        <v>2114</v>
      </c>
      <c r="D518" s="126" t="s">
        <v>2465</v>
      </c>
      <c r="F518" s="126" t="s">
        <v>2491</v>
      </c>
      <c r="G518" s="129" t="s">
        <v>2984</v>
      </c>
      <c r="H518" s="126" t="s">
        <v>3037</v>
      </c>
      <c r="I518" s="133">
        <v>35000</v>
      </c>
      <c r="J518" s="135" t="s">
        <v>3231</v>
      </c>
    </row>
    <row r="519" spans="1:10" ht="31.5" x14ac:dyDescent="0.2">
      <c r="A519">
        <v>516</v>
      </c>
      <c r="B519" s="136" t="s">
        <v>3747</v>
      </c>
      <c r="C519" s="126" t="s">
        <v>2115</v>
      </c>
      <c r="D519" s="126" t="s">
        <v>2466</v>
      </c>
      <c r="E519" s="126"/>
      <c r="F519" s="126" t="s">
        <v>2499</v>
      </c>
      <c r="G519" s="129" t="s">
        <v>2985</v>
      </c>
      <c r="H519" s="126" t="s">
        <v>3000</v>
      </c>
      <c r="I519" s="132" t="s">
        <v>3223</v>
      </c>
      <c r="J519" s="135" t="s">
        <v>3231</v>
      </c>
    </row>
    <row r="520" spans="1:10" ht="47.25" x14ac:dyDescent="0.2">
      <c r="A520">
        <v>517</v>
      </c>
      <c r="B520" s="136" t="s">
        <v>3748</v>
      </c>
      <c r="C520" s="126" t="s">
        <v>2116</v>
      </c>
      <c r="D520" s="126" t="s">
        <v>2467</v>
      </c>
      <c r="F520" s="126" t="s">
        <v>3844</v>
      </c>
      <c r="G520" s="129" t="s">
        <v>2986</v>
      </c>
      <c r="H520" s="126" t="s">
        <v>2992</v>
      </c>
      <c r="I520" s="133">
        <v>1780000</v>
      </c>
      <c r="J520" s="135" t="s">
        <v>3231</v>
      </c>
    </row>
    <row r="521" spans="1:10" ht="31.5" x14ac:dyDescent="0.2">
      <c r="A521">
        <v>518</v>
      </c>
      <c r="B521" s="136" t="s">
        <v>3749</v>
      </c>
      <c r="C521" s="126" t="s">
        <v>2116</v>
      </c>
      <c r="D521" s="126" t="s">
        <v>2468</v>
      </c>
      <c r="F521" s="126" t="s">
        <v>3862</v>
      </c>
      <c r="G521" s="129" t="s">
        <v>2798</v>
      </c>
      <c r="H521" s="126" t="s">
        <v>2995</v>
      </c>
      <c r="I521" s="132" t="s">
        <v>3211</v>
      </c>
      <c r="J521" s="135" t="s">
        <v>3231</v>
      </c>
    </row>
  </sheetData>
  <phoneticPr fontId="16" type="noConversion"/>
  <conditionalFormatting sqref="A4:B521 A3:L3 E4:E11 E87:E104 E121:E129 E106:E119 E131:E163 E165:E179 E181 E183:E187 E190:E221 E223:E244 E248:E251 E253:E254 E256:E262 E264 E267:E287 E289:E318 E320:E325 E327:E334 E336 E339 E341:E342 E345:E346 E349:E361 E365 E368:E369 E371 E373:E393 E395:E407 E409:E418 E420:E435 E437:E449 E451:E458 E460:E463 E465:E467 E470:E488 E490:E493 E495:E498 E500:E518 E520:E521 E13:E83">
    <cfRule type="expression" dxfId="6" priority="5">
      <formula>IF(A3&lt;&gt;"",TRUE,FALSE)</formula>
    </cfRule>
  </conditionalFormatting>
  <conditionalFormatting sqref="C4:C521">
    <cfRule type="duplicateValues" dxfId="5" priority="68"/>
  </conditionalFormatting>
  <dataValidations count="1">
    <dataValidation type="list" allowBlank="1" showInputMessage="1" showErrorMessage="1" sqref="J4:J521" xr:uid="{00000000-0002-0000-0C00-000000000000}">
      <formula1>"Hoá chất,Dụng cụ TN,Cơ khí,Điện"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DT_Input">
    <tabColor rgb="FF00B0F0"/>
  </sheetPr>
  <dimension ref="A1:BZ41"/>
  <sheetViews>
    <sheetView topLeftCell="R1" workbookViewId="0">
      <selection activeCell="I24" sqref="I24:I25"/>
    </sheetView>
  </sheetViews>
  <sheetFormatPr defaultRowHeight="14.25" x14ac:dyDescent="0.2"/>
  <cols>
    <col min="1" max="1" width="5.125" customWidth="1"/>
    <col min="2" max="2" width="15.375" customWidth="1"/>
    <col min="3" max="3" width="19.375" customWidth="1"/>
    <col min="4" max="4" width="3.25" customWidth="1"/>
    <col min="5" max="5" width="17.5" customWidth="1"/>
    <col min="6" max="6" width="19.875" customWidth="1"/>
    <col min="7" max="7" width="2.75" customWidth="1"/>
    <col min="8" max="8" width="24.625" customWidth="1"/>
    <col min="9" max="9" width="28.25" customWidth="1"/>
    <col min="10" max="10" width="10.625" customWidth="1"/>
    <col min="11" max="11" width="14.875" customWidth="1"/>
    <col min="12" max="12" width="9.875" customWidth="1"/>
    <col min="13" max="13" width="21" customWidth="1"/>
    <col min="14" max="14" width="8.75" customWidth="1"/>
    <col min="15" max="15" width="3.25" customWidth="1"/>
    <col min="16" max="16" width="8.25" customWidth="1"/>
    <col min="17" max="17" width="23" customWidth="1"/>
    <col min="19" max="19" width="26" customWidth="1"/>
    <col min="20" max="20" width="17.125" customWidth="1"/>
    <col min="21" max="21" width="16.25" customWidth="1"/>
    <col min="24" max="24" width="1.75" customWidth="1"/>
    <col min="25" max="25" width="23.875" customWidth="1"/>
    <col min="26" max="26" width="15.25" customWidth="1"/>
    <col min="27" max="27" width="15.75" customWidth="1"/>
    <col min="28" max="28" width="18.625" customWidth="1"/>
    <col min="29" max="29" width="2.375" customWidth="1"/>
    <col min="31" max="31" width="24" customWidth="1"/>
  </cols>
  <sheetData>
    <row r="1" spans="1:78" x14ac:dyDescent="0.2">
      <c r="A1" s="10" t="s">
        <v>1626</v>
      </c>
      <c r="B1" s="10" t="s">
        <v>3788</v>
      </c>
      <c r="C1" s="10"/>
      <c r="D1" s="10"/>
      <c r="E1" s="10"/>
      <c r="I1" s="12"/>
      <c r="K1" s="10"/>
    </row>
    <row r="2" spans="1:78" x14ac:dyDescent="0.2">
      <c r="A2" s="10"/>
      <c r="B2" s="10"/>
      <c r="D2" s="10"/>
      <c r="E2" s="10"/>
      <c r="H2" s="10"/>
      <c r="K2" s="10"/>
    </row>
    <row r="3" spans="1:78" ht="25.5" x14ac:dyDescent="0.25">
      <c r="A3" s="11" t="s">
        <v>62</v>
      </c>
      <c r="B3" s="11" t="s">
        <v>181</v>
      </c>
      <c r="C3" s="11" t="s">
        <v>187</v>
      </c>
      <c r="D3" s="169"/>
      <c r="E3" s="170" t="s">
        <v>3826</v>
      </c>
      <c r="F3" s="170" t="s">
        <v>3827</v>
      </c>
      <c r="H3" s="70" t="s">
        <v>513</v>
      </c>
      <c r="I3" s="70" t="s">
        <v>514</v>
      </c>
      <c r="J3" s="70" t="s">
        <v>1</v>
      </c>
      <c r="K3" s="70" t="s">
        <v>516</v>
      </c>
      <c r="P3" s="51" t="s">
        <v>377</v>
      </c>
      <c r="Q3" s="51" t="s">
        <v>283</v>
      </c>
      <c r="R3" s="52" t="s">
        <v>378</v>
      </c>
      <c r="S3" s="52" t="s">
        <v>381</v>
      </c>
      <c r="T3" s="53" t="s">
        <v>379</v>
      </c>
      <c r="U3" s="53" t="s">
        <v>382</v>
      </c>
      <c r="V3" s="54" t="s">
        <v>380</v>
      </c>
      <c r="W3" s="54" t="s">
        <v>383</v>
      </c>
      <c r="X3" s="50"/>
      <c r="Y3" s="55" t="s">
        <v>283</v>
      </c>
      <c r="Z3" s="55" t="s">
        <v>284</v>
      </c>
      <c r="AA3" s="55" t="s">
        <v>375</v>
      </c>
      <c r="AB3" s="55" t="s">
        <v>376</v>
      </c>
      <c r="AC3" s="4"/>
      <c r="AD3" s="51" t="s">
        <v>377</v>
      </c>
      <c r="AE3" s="51" t="s">
        <v>283</v>
      </c>
    </row>
    <row r="4" spans="1:78" x14ac:dyDescent="0.2">
      <c r="A4" s="66">
        <v>348</v>
      </c>
      <c r="B4" s="66" t="s">
        <v>220</v>
      </c>
      <c r="C4" s="66" t="s">
        <v>3789</v>
      </c>
      <c r="E4" s="171" t="s">
        <v>3833</v>
      </c>
      <c r="F4" s="171"/>
      <c r="G4" s="121"/>
      <c r="H4" s="72" t="s">
        <v>517</v>
      </c>
      <c r="I4" s="124" t="s">
        <v>361</v>
      </c>
      <c r="J4" s="72" t="s">
        <v>518</v>
      </c>
      <c r="K4" s="72">
        <v>0.6</v>
      </c>
      <c r="L4" s="121"/>
      <c r="M4" s="121"/>
      <c r="N4" s="121"/>
      <c r="O4" s="121"/>
      <c r="P4">
        <v>1</v>
      </c>
      <c r="Q4" t="s">
        <v>3791</v>
      </c>
      <c r="R4" s="136" t="s">
        <v>3799</v>
      </c>
      <c r="S4" t="s">
        <v>3800</v>
      </c>
      <c r="T4" t="s">
        <v>3805</v>
      </c>
      <c r="U4" t="s">
        <v>3806</v>
      </c>
      <c r="V4" t="s">
        <v>3817</v>
      </c>
      <c r="W4" t="s">
        <v>3818</v>
      </c>
      <c r="Y4" t="s">
        <v>3792</v>
      </c>
      <c r="Z4" t="s">
        <v>3801</v>
      </c>
      <c r="AA4" t="s">
        <v>3807</v>
      </c>
      <c r="AB4" t="s">
        <v>3819</v>
      </c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  <c r="BP4" s="121"/>
      <c r="BQ4" s="121"/>
      <c r="BR4" s="121"/>
      <c r="BS4" s="121"/>
      <c r="BT4" s="121"/>
      <c r="BU4" s="121"/>
      <c r="BV4" s="121"/>
      <c r="BW4" s="121"/>
      <c r="BX4" s="121"/>
      <c r="BY4" s="121"/>
      <c r="BZ4" s="121"/>
    </row>
    <row r="5" spans="1:78" x14ac:dyDescent="0.2">
      <c r="A5" s="66">
        <v>344</v>
      </c>
      <c r="B5" s="66" t="s">
        <v>207</v>
      </c>
      <c r="C5" s="66" t="s">
        <v>3789</v>
      </c>
      <c r="E5" s="171" t="s">
        <v>3834</v>
      </c>
      <c r="F5" s="171"/>
      <c r="G5" s="121"/>
      <c r="H5" s="72" t="s">
        <v>517</v>
      </c>
      <c r="I5" s="124" t="s">
        <v>1622</v>
      </c>
      <c r="J5" s="72" t="s">
        <v>518</v>
      </c>
      <c r="K5" s="72">
        <v>0.18</v>
      </c>
      <c r="L5" s="121"/>
      <c r="M5" s="121"/>
      <c r="N5" s="121"/>
      <c r="O5" s="121"/>
      <c r="P5">
        <v>2</v>
      </c>
      <c r="Q5" t="s">
        <v>3793</v>
      </c>
      <c r="R5" s="136" t="s">
        <v>3802</v>
      </c>
      <c r="S5" t="s">
        <v>3803</v>
      </c>
      <c r="T5" t="s">
        <v>3808</v>
      </c>
      <c r="U5" t="s">
        <v>3809</v>
      </c>
      <c r="V5" t="s">
        <v>3820</v>
      </c>
      <c r="W5" t="s">
        <v>3821</v>
      </c>
      <c r="Y5" t="s">
        <v>3794</v>
      </c>
      <c r="Z5" t="s">
        <v>3804</v>
      </c>
      <c r="AA5" t="s">
        <v>3810</v>
      </c>
      <c r="AB5" t="s">
        <v>3822</v>
      </c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</row>
    <row r="6" spans="1:78" x14ac:dyDescent="0.2">
      <c r="A6" s="66">
        <v>13</v>
      </c>
      <c r="B6" s="66" t="s">
        <v>615</v>
      </c>
      <c r="C6" s="66" t="s">
        <v>3790</v>
      </c>
      <c r="E6" s="171" t="s">
        <v>3835</v>
      </c>
      <c r="F6" s="171"/>
      <c r="H6" s="72" t="s">
        <v>517</v>
      </c>
      <c r="I6" s="124" t="s">
        <v>313</v>
      </c>
      <c r="J6" s="72" t="s">
        <v>518</v>
      </c>
      <c r="K6" s="72">
        <v>0.48</v>
      </c>
      <c r="P6">
        <v>3</v>
      </c>
      <c r="Q6" t="s">
        <v>3795</v>
      </c>
      <c r="T6" t="s">
        <v>3811</v>
      </c>
      <c r="U6" t="s">
        <v>3812</v>
      </c>
      <c r="Y6" t="s">
        <v>3796</v>
      </c>
      <c r="AA6" t="s">
        <v>3813</v>
      </c>
    </row>
    <row r="7" spans="1:78" x14ac:dyDescent="0.2">
      <c r="A7" s="66">
        <v>343</v>
      </c>
      <c r="B7" s="66" t="s">
        <v>70</v>
      </c>
      <c r="C7" s="66" t="s">
        <v>3789</v>
      </c>
      <c r="E7" s="171" t="s">
        <v>3836</v>
      </c>
      <c r="F7" s="171"/>
      <c r="H7" s="72" t="s">
        <v>517</v>
      </c>
      <c r="I7" s="124" t="s">
        <v>314</v>
      </c>
      <c r="J7" s="72" t="s">
        <v>518</v>
      </c>
      <c r="K7" s="72">
        <v>0.24</v>
      </c>
      <c r="P7">
        <v>4</v>
      </c>
      <c r="Q7" t="s">
        <v>3797</v>
      </c>
      <c r="T7" t="s">
        <v>3814</v>
      </c>
      <c r="U7" t="s">
        <v>3815</v>
      </c>
      <c r="Y7" t="s">
        <v>3798</v>
      </c>
      <c r="AA7" t="s">
        <v>3816</v>
      </c>
    </row>
    <row r="8" spans="1:78" x14ac:dyDescent="0.2">
      <c r="E8" s="171" t="s">
        <v>3828</v>
      </c>
      <c r="F8" s="171"/>
      <c r="H8" s="72" t="s">
        <v>517</v>
      </c>
      <c r="I8" s="124" t="s">
        <v>1623</v>
      </c>
      <c r="J8" s="72" t="s">
        <v>518</v>
      </c>
      <c r="K8" s="72">
        <v>0.12</v>
      </c>
    </row>
    <row r="9" spans="1:78" x14ac:dyDescent="0.2">
      <c r="E9" s="171"/>
      <c r="F9" s="171"/>
      <c r="H9" s="72" t="s">
        <v>519</v>
      </c>
      <c r="I9" s="72" t="s">
        <v>520</v>
      </c>
      <c r="J9" s="72" t="s">
        <v>521</v>
      </c>
      <c r="K9" s="73">
        <v>1500000</v>
      </c>
    </row>
    <row r="10" spans="1:78" x14ac:dyDescent="0.2">
      <c r="E10" s="171"/>
      <c r="F10" s="171"/>
      <c r="H10" s="72" t="s">
        <v>519</v>
      </c>
      <c r="I10" s="72" t="s">
        <v>522</v>
      </c>
      <c r="J10" s="72" t="s">
        <v>521</v>
      </c>
      <c r="K10" s="73">
        <v>400000</v>
      </c>
    </row>
    <row r="11" spans="1:78" x14ac:dyDescent="0.2">
      <c r="E11" s="171"/>
      <c r="F11" s="171"/>
      <c r="H11" s="72" t="s">
        <v>519</v>
      </c>
      <c r="I11" s="72" t="s">
        <v>523</v>
      </c>
      <c r="J11" s="72" t="s">
        <v>524</v>
      </c>
      <c r="K11" s="73">
        <v>2000000</v>
      </c>
    </row>
    <row r="12" spans="1:78" x14ac:dyDescent="0.2">
      <c r="E12" s="171"/>
      <c r="F12" s="171"/>
      <c r="H12" s="72" t="s">
        <v>519</v>
      </c>
      <c r="I12" s="72" t="s">
        <v>525</v>
      </c>
      <c r="J12" s="72" t="s">
        <v>524</v>
      </c>
      <c r="K12" s="73">
        <v>1200000</v>
      </c>
    </row>
    <row r="13" spans="1:78" x14ac:dyDescent="0.2">
      <c r="E13" s="171"/>
      <c r="F13" s="171"/>
      <c r="H13" s="72" t="s">
        <v>519</v>
      </c>
      <c r="I13" s="72" t="s">
        <v>526</v>
      </c>
      <c r="J13" s="72" t="s">
        <v>527</v>
      </c>
      <c r="K13" s="73">
        <v>200000</v>
      </c>
    </row>
    <row r="14" spans="1:78" x14ac:dyDescent="0.2">
      <c r="E14" s="171"/>
      <c r="F14" s="171"/>
      <c r="H14" s="72" t="s">
        <v>528</v>
      </c>
      <c r="I14" s="108" t="s">
        <v>386</v>
      </c>
      <c r="J14" s="74" t="s">
        <v>529</v>
      </c>
      <c r="K14" s="73">
        <v>1200000</v>
      </c>
    </row>
    <row r="15" spans="1:78" x14ac:dyDescent="0.2">
      <c r="E15" s="171"/>
      <c r="F15" s="171"/>
      <c r="H15" s="72" t="s">
        <v>528</v>
      </c>
      <c r="I15" s="72" t="s">
        <v>530</v>
      </c>
      <c r="J15" s="74" t="s">
        <v>529</v>
      </c>
      <c r="K15" s="73">
        <v>700000</v>
      </c>
    </row>
    <row r="16" spans="1:78" x14ac:dyDescent="0.2">
      <c r="E16" s="171"/>
      <c r="F16" s="171"/>
      <c r="H16" s="72" t="s">
        <v>528</v>
      </c>
      <c r="I16" s="72" t="s">
        <v>531</v>
      </c>
      <c r="J16" s="74" t="s">
        <v>529</v>
      </c>
      <c r="K16" s="73">
        <v>700000</v>
      </c>
    </row>
    <row r="17" spans="5:11" x14ac:dyDescent="0.2">
      <c r="E17" s="171"/>
      <c r="F17" s="171"/>
      <c r="H17" s="72" t="s">
        <v>528</v>
      </c>
      <c r="I17" s="72" t="s">
        <v>522</v>
      </c>
      <c r="J17" s="74" t="s">
        <v>529</v>
      </c>
      <c r="K17" s="73">
        <v>200000</v>
      </c>
    </row>
    <row r="18" spans="5:11" x14ac:dyDescent="0.2">
      <c r="E18" s="171"/>
      <c r="F18" s="171"/>
      <c r="H18" s="72" t="s">
        <v>528</v>
      </c>
      <c r="I18" s="72" t="s">
        <v>532</v>
      </c>
      <c r="J18" s="74" t="s">
        <v>529</v>
      </c>
      <c r="K18" s="73">
        <v>200000</v>
      </c>
    </row>
    <row r="19" spans="5:11" x14ac:dyDescent="0.2">
      <c r="E19" s="171"/>
      <c r="F19" s="171"/>
      <c r="H19" s="72" t="s">
        <v>528</v>
      </c>
      <c r="I19" s="72" t="s">
        <v>489</v>
      </c>
      <c r="J19" s="74" t="s">
        <v>529</v>
      </c>
      <c r="K19" s="73">
        <v>100000</v>
      </c>
    </row>
    <row r="20" spans="5:11" x14ac:dyDescent="0.2">
      <c r="H20" s="72" t="s">
        <v>528</v>
      </c>
      <c r="I20" s="72" t="s">
        <v>533</v>
      </c>
      <c r="J20" s="74" t="s">
        <v>534</v>
      </c>
      <c r="K20" s="73">
        <v>300000</v>
      </c>
    </row>
    <row r="21" spans="5:11" x14ac:dyDescent="0.2">
      <c r="H21" s="72" t="s">
        <v>528</v>
      </c>
      <c r="I21" s="72" t="s">
        <v>535</v>
      </c>
      <c r="J21" s="74" t="s">
        <v>534</v>
      </c>
      <c r="K21" s="73">
        <v>500000</v>
      </c>
    </row>
    <row r="22" spans="5:11" x14ac:dyDescent="0.2">
      <c r="H22" s="72" t="s">
        <v>536</v>
      </c>
      <c r="I22" s="108" t="s">
        <v>386</v>
      </c>
      <c r="J22" s="74" t="s">
        <v>529</v>
      </c>
      <c r="K22" s="73">
        <v>1500000</v>
      </c>
    </row>
    <row r="23" spans="5:11" x14ac:dyDescent="0.2">
      <c r="H23" s="72" t="s">
        <v>536</v>
      </c>
      <c r="I23" s="72" t="s">
        <v>530</v>
      </c>
      <c r="J23" s="74" t="s">
        <v>529</v>
      </c>
      <c r="K23" s="73">
        <v>1200000</v>
      </c>
    </row>
    <row r="24" spans="5:11" x14ac:dyDescent="0.2">
      <c r="H24" s="72" t="s">
        <v>536</v>
      </c>
      <c r="I24" s="72" t="s">
        <v>531</v>
      </c>
      <c r="J24" s="74" t="s">
        <v>529</v>
      </c>
      <c r="K24" s="73">
        <v>1200000</v>
      </c>
    </row>
    <row r="25" spans="5:11" x14ac:dyDescent="0.2">
      <c r="H25" s="72" t="s">
        <v>536</v>
      </c>
      <c r="I25" s="72" t="s">
        <v>522</v>
      </c>
      <c r="J25" s="74" t="s">
        <v>529</v>
      </c>
      <c r="K25" s="73">
        <v>200000</v>
      </c>
    </row>
    <row r="26" spans="5:11" x14ac:dyDescent="0.2">
      <c r="H26" s="72" t="s">
        <v>536</v>
      </c>
      <c r="I26" s="72" t="s">
        <v>532</v>
      </c>
      <c r="J26" s="74" t="s">
        <v>529</v>
      </c>
      <c r="K26" s="73">
        <v>200000</v>
      </c>
    </row>
    <row r="27" spans="5:11" x14ac:dyDescent="0.2">
      <c r="H27" s="72" t="s">
        <v>536</v>
      </c>
      <c r="I27" s="72" t="s">
        <v>489</v>
      </c>
      <c r="J27" s="74" t="s">
        <v>529</v>
      </c>
      <c r="K27" s="73">
        <v>100000</v>
      </c>
    </row>
    <row r="28" spans="5:11" x14ac:dyDescent="0.2">
      <c r="H28" s="72" t="s">
        <v>536</v>
      </c>
      <c r="I28" s="72" t="s">
        <v>533</v>
      </c>
      <c r="J28" s="74" t="s">
        <v>534</v>
      </c>
      <c r="K28" s="73">
        <v>500000</v>
      </c>
    </row>
    <row r="29" spans="5:11" x14ac:dyDescent="0.2">
      <c r="H29" s="72" t="s">
        <v>536</v>
      </c>
      <c r="I29" s="72" t="s">
        <v>535</v>
      </c>
      <c r="J29" s="74" t="s">
        <v>534</v>
      </c>
      <c r="K29" s="73">
        <v>700000</v>
      </c>
    </row>
    <row r="30" spans="5:11" x14ac:dyDescent="0.2">
      <c r="H30" s="72" t="s">
        <v>537</v>
      </c>
      <c r="I30" s="108" t="s">
        <v>386</v>
      </c>
      <c r="J30" s="74" t="s">
        <v>529</v>
      </c>
      <c r="K30" s="73">
        <v>1500000</v>
      </c>
    </row>
    <row r="31" spans="5:11" x14ac:dyDescent="0.2">
      <c r="H31" s="72" t="s">
        <v>537</v>
      </c>
      <c r="I31" s="72" t="s">
        <v>530</v>
      </c>
      <c r="J31" s="74" t="s">
        <v>529</v>
      </c>
      <c r="K31" s="73">
        <v>1200000</v>
      </c>
    </row>
    <row r="32" spans="5:11" x14ac:dyDescent="0.2">
      <c r="H32" s="72" t="s">
        <v>537</v>
      </c>
      <c r="I32" s="72" t="s">
        <v>531</v>
      </c>
      <c r="J32" s="74" t="s">
        <v>529</v>
      </c>
      <c r="K32" s="73">
        <v>1200000</v>
      </c>
    </row>
    <row r="33" spans="8:11" x14ac:dyDescent="0.2">
      <c r="H33" s="72" t="s">
        <v>537</v>
      </c>
      <c r="I33" s="72" t="s">
        <v>522</v>
      </c>
      <c r="J33" s="74" t="s">
        <v>529</v>
      </c>
      <c r="K33" s="73">
        <v>200000</v>
      </c>
    </row>
    <row r="34" spans="8:11" x14ac:dyDescent="0.2">
      <c r="H34" s="72" t="s">
        <v>537</v>
      </c>
      <c r="I34" s="72" t="s">
        <v>532</v>
      </c>
      <c r="J34" s="74" t="s">
        <v>529</v>
      </c>
      <c r="K34" s="73">
        <v>200000</v>
      </c>
    </row>
    <row r="35" spans="8:11" x14ac:dyDescent="0.2">
      <c r="H35" s="72" t="s">
        <v>537</v>
      </c>
      <c r="I35" s="72" t="s">
        <v>489</v>
      </c>
      <c r="J35" s="74" t="s">
        <v>529</v>
      </c>
      <c r="K35" s="73">
        <v>100000</v>
      </c>
    </row>
    <row r="36" spans="8:11" x14ac:dyDescent="0.2">
      <c r="H36" s="72" t="s">
        <v>537</v>
      </c>
      <c r="I36" s="72" t="s">
        <v>533</v>
      </c>
      <c r="J36" s="74" t="s">
        <v>534</v>
      </c>
      <c r="K36" s="73">
        <v>500000</v>
      </c>
    </row>
    <row r="37" spans="8:11" x14ac:dyDescent="0.2">
      <c r="H37" s="72" t="s">
        <v>537</v>
      </c>
      <c r="I37" s="72" t="s">
        <v>535</v>
      </c>
      <c r="J37" s="74" t="s">
        <v>534</v>
      </c>
      <c r="K37" s="73">
        <v>700000</v>
      </c>
    </row>
    <row r="38" spans="8:11" ht="22.15" customHeight="1" x14ac:dyDescent="0.2">
      <c r="H38" s="72" t="s">
        <v>538</v>
      </c>
      <c r="I38" s="72" t="s">
        <v>539</v>
      </c>
      <c r="J38" s="74" t="s">
        <v>529</v>
      </c>
      <c r="K38" s="73">
        <v>600000</v>
      </c>
    </row>
    <row r="39" spans="8:11" ht="32.450000000000003" customHeight="1" x14ac:dyDescent="0.2">
      <c r="H39" s="72" t="s">
        <v>538</v>
      </c>
      <c r="I39" s="72" t="s">
        <v>540</v>
      </c>
      <c r="J39" s="74" t="s">
        <v>529</v>
      </c>
      <c r="K39" s="73">
        <v>420000</v>
      </c>
    </row>
    <row r="40" spans="8:11" ht="19.899999999999999" customHeight="1" x14ac:dyDescent="0.2">
      <c r="H40" s="72" t="s">
        <v>538</v>
      </c>
      <c r="I40" s="72" t="s">
        <v>532</v>
      </c>
      <c r="J40" s="74" t="s">
        <v>529</v>
      </c>
      <c r="K40" s="73">
        <v>180000</v>
      </c>
    </row>
    <row r="41" spans="8:11" ht="34.15" customHeight="1" x14ac:dyDescent="0.2">
      <c r="H41" s="72" t="s">
        <v>538</v>
      </c>
      <c r="I41" s="72" t="s">
        <v>489</v>
      </c>
      <c r="J41" s="74" t="s">
        <v>529</v>
      </c>
      <c r="K41" s="73">
        <v>120000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DT_ChiTiet">
    <tabColor rgb="FF00B0F0"/>
  </sheetPr>
  <dimension ref="A1:BZ249"/>
  <sheetViews>
    <sheetView workbookViewId="0">
      <selection activeCell="L14" sqref="L14"/>
    </sheetView>
  </sheetViews>
  <sheetFormatPr defaultRowHeight="14.25" x14ac:dyDescent="0.2"/>
  <cols>
    <col min="1" max="1" width="22.125" customWidth="1"/>
    <col min="2" max="2" width="7.375" customWidth="1"/>
    <col min="3" max="3" width="16.375" customWidth="1"/>
    <col min="4" max="4" width="7.125" customWidth="1"/>
    <col min="5" max="5" width="19" customWidth="1"/>
    <col min="6" max="6" width="12.625" customWidth="1"/>
    <col min="7" max="9" width="10.125" customWidth="1"/>
    <col min="10" max="10" width="9" style="42"/>
    <col min="11" max="11" width="22.125" customWidth="1"/>
    <col min="12" max="12" width="20" customWidth="1"/>
    <col min="13" max="13" width="12.625" bestFit="1" customWidth="1"/>
    <col min="17" max="17" width="21" style="32" bestFit="1" customWidth="1"/>
    <col min="18" max="18" width="6.75" customWidth="1"/>
    <col min="20" max="20" width="23.625" customWidth="1"/>
  </cols>
  <sheetData>
    <row r="1" spans="1:78" x14ac:dyDescent="0.2">
      <c r="A1" s="121">
        <v>0</v>
      </c>
      <c r="B1" s="12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3" spans="1:78" s="19" customFormat="1" ht="15" x14ac:dyDescent="0.25">
      <c r="A3" s="21" t="s">
        <v>341</v>
      </c>
      <c r="B3" s="22" t="s">
        <v>342</v>
      </c>
      <c r="C3" s="21" t="s">
        <v>346</v>
      </c>
      <c r="D3" s="22" t="s">
        <v>343</v>
      </c>
      <c r="E3" s="21" t="s">
        <v>347</v>
      </c>
      <c r="F3" s="22" t="s">
        <v>344</v>
      </c>
      <c r="G3" s="21" t="s">
        <v>348</v>
      </c>
      <c r="H3" s="22" t="s">
        <v>345</v>
      </c>
      <c r="I3" s="21" t="s">
        <v>349</v>
      </c>
      <c r="J3" s="43" t="s">
        <v>350</v>
      </c>
      <c r="K3" s="23" t="s">
        <v>351</v>
      </c>
      <c r="L3" s="21" t="s">
        <v>352</v>
      </c>
      <c r="M3" s="24" t="s">
        <v>288</v>
      </c>
      <c r="N3" s="24" t="s">
        <v>315</v>
      </c>
      <c r="O3" s="25" t="s">
        <v>287</v>
      </c>
      <c r="P3" s="25" t="s">
        <v>316</v>
      </c>
      <c r="Q3" s="26" t="s">
        <v>353</v>
      </c>
      <c r="R3" s="27" t="s">
        <v>340</v>
      </c>
    </row>
    <row r="4" spans="1:78" s="19" customFormat="1" ht="15" x14ac:dyDescent="0.25">
      <c r="A4" s="20" t="s">
        <v>3837</v>
      </c>
      <c r="B4" s="28"/>
      <c r="C4" s="20"/>
      <c r="D4" s="28"/>
      <c r="E4" s="20"/>
      <c r="F4" s="28"/>
      <c r="G4" s="20"/>
      <c r="H4" s="28"/>
      <c r="I4" s="20"/>
      <c r="J4" s="157"/>
      <c r="K4" s="29" t="s">
        <v>1915</v>
      </c>
      <c r="L4" s="20" t="s">
        <v>2989</v>
      </c>
      <c r="M4" s="158">
        <v>53000</v>
      </c>
      <c r="N4" s="31"/>
      <c r="O4" s="30">
        <v>100</v>
      </c>
      <c r="P4" s="30"/>
      <c r="Q4" s="158">
        <v>5300000</v>
      </c>
      <c r="R4" s="34">
        <v>4</v>
      </c>
    </row>
    <row r="5" spans="1:78" s="19" customFormat="1" ht="15" x14ac:dyDescent="0.25">
      <c r="A5" s="20" t="s">
        <v>3753</v>
      </c>
      <c r="B5" s="28">
        <v>1</v>
      </c>
      <c r="C5" s="20"/>
      <c r="D5" s="28">
        <v>1.1000000000000001</v>
      </c>
      <c r="E5" s="20"/>
      <c r="F5" s="28" t="s">
        <v>3805</v>
      </c>
      <c r="G5" s="20"/>
      <c r="H5" s="28"/>
      <c r="I5" s="20"/>
      <c r="J5" s="157"/>
      <c r="K5" s="29" t="s">
        <v>220</v>
      </c>
      <c r="L5" s="20" t="s">
        <v>313</v>
      </c>
      <c r="M5" s="158">
        <v>0.48</v>
      </c>
      <c r="N5" s="158">
        <v>30</v>
      </c>
      <c r="O5" s="30">
        <v>10</v>
      </c>
      <c r="P5" s="159">
        <v>0.45500000000000002</v>
      </c>
      <c r="Q5" s="158">
        <v>6.5519999999999996</v>
      </c>
      <c r="R5" s="34">
        <v>3</v>
      </c>
    </row>
    <row r="6" spans="1:78" s="19" customFormat="1" ht="15" x14ac:dyDescent="0.25">
      <c r="A6" s="20" t="s">
        <v>3753</v>
      </c>
      <c r="B6" s="28">
        <v>1</v>
      </c>
      <c r="C6" s="20"/>
      <c r="D6" s="28">
        <v>1.1000000000000001</v>
      </c>
      <c r="E6" s="20"/>
      <c r="F6" s="28" t="s">
        <v>3805</v>
      </c>
      <c r="G6" s="20"/>
      <c r="H6" s="28" t="s">
        <v>3817</v>
      </c>
      <c r="I6" s="20"/>
      <c r="J6" s="157"/>
      <c r="K6" s="29" t="s">
        <v>220</v>
      </c>
      <c r="L6" s="20" t="s">
        <v>361</v>
      </c>
      <c r="M6" s="158">
        <v>6</v>
      </c>
      <c r="N6" s="158">
        <v>30</v>
      </c>
      <c r="O6" s="30">
        <v>10</v>
      </c>
      <c r="P6" s="159">
        <v>0.45500000000000002</v>
      </c>
      <c r="Q6" s="158">
        <v>1.6379999999999999</v>
      </c>
      <c r="R6" s="34">
        <v>2</v>
      </c>
    </row>
    <row r="7" spans="1:78" s="19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1:78" s="19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78" s="19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78" s="19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78" s="19" customFormat="1" ht="15" x14ac:dyDescent="0.25">
      <c r="A11"/>
      <c r="B11"/>
      <c r="C11"/>
      <c r="D11" s="137"/>
      <c r="E11" s="138"/>
      <c r="F11" s="137"/>
      <c r="G11" s="138"/>
      <c r="H11" s="137"/>
      <c r="I11" s="138"/>
      <c r="J11" s="139"/>
      <c r="K11" s="140"/>
      <c r="L11" s="138"/>
      <c r="M11" s="141"/>
      <c r="N11" s="141"/>
      <c r="O11" s="142"/>
      <c r="P11" s="142"/>
      <c r="Q11" s="143"/>
      <c r="R11" s="27"/>
    </row>
    <row r="12" spans="1:78" s="19" customFormat="1" x14ac:dyDescent="0.2">
      <c r="A12"/>
      <c r="B12"/>
      <c r="C12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</row>
    <row r="13" spans="1:78" s="19" customForma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</row>
    <row r="14" spans="1:78" s="19" customForma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78" s="19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78" s="19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s="19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s="19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s="19" customForma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s="19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s="19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s="19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s="19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s="19" customForma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s="19" customForma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s="19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s="19" customForma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s="19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s="19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s="19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s="19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s="19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s="19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s="19" customForma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s="19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s="19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s="19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s="19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s="19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s="19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s="19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s="19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s="19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s="19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s="19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s="19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s="19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s="19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s="19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s="19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s="19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s="19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s="19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s="19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s="19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s="19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s="19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s="19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s="19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s="19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s="19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s="19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s="19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s="19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s="19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s="19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s="19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s="19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s="19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s="19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s="19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s="19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s="19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s="19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s="19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s="19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s="19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s="19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s="19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s="19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s="19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s="19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s="19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s="19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s="19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s="19" customFormat="1" ht="15" x14ac:dyDescent="0.25">
      <c r="A86" s="20"/>
      <c r="B86" s="28"/>
      <c r="C86" s="20"/>
      <c r="D86" s="28"/>
      <c r="E86" s="20"/>
      <c r="F86" s="28"/>
      <c r="G86" s="20"/>
      <c r="H86" s="28"/>
      <c r="I86" s="20"/>
      <c r="J86" s="125"/>
      <c r="K86" s="29"/>
      <c r="L86" s="20"/>
      <c r="M86" s="31"/>
      <c r="N86" s="31"/>
      <c r="O86" s="30"/>
      <c r="P86" s="30"/>
      <c r="Q86" s="33"/>
      <c r="R86" s="34"/>
    </row>
    <row r="87" spans="1:18" s="19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">
      <c r="J88"/>
      <c r="Q88"/>
    </row>
    <row r="89" spans="1:18" x14ac:dyDescent="0.2">
      <c r="J89"/>
      <c r="Q89"/>
    </row>
    <row r="90" spans="1:18" x14ac:dyDescent="0.2">
      <c r="J90"/>
      <c r="Q90"/>
    </row>
    <row r="91" spans="1:18" x14ac:dyDescent="0.2">
      <c r="J91"/>
      <c r="Q91"/>
    </row>
    <row r="92" spans="1:18" x14ac:dyDescent="0.2">
      <c r="J92"/>
      <c r="Q92"/>
    </row>
    <row r="93" spans="1:18" x14ac:dyDescent="0.2">
      <c r="J93"/>
      <c r="Q93"/>
    </row>
    <row r="94" spans="1:18" x14ac:dyDescent="0.2">
      <c r="J94"/>
      <c r="Q94"/>
    </row>
    <row r="95" spans="1:18" x14ac:dyDescent="0.2">
      <c r="J95"/>
      <c r="Q95"/>
    </row>
    <row r="96" spans="1:18" x14ac:dyDescent="0.2">
      <c r="J96"/>
      <c r="Q96"/>
    </row>
    <row r="97" spans="10:17" x14ac:dyDescent="0.2">
      <c r="J97"/>
      <c r="Q97"/>
    </row>
    <row r="98" spans="10:17" x14ac:dyDescent="0.2">
      <c r="J98"/>
      <c r="Q98"/>
    </row>
    <row r="99" spans="10:17" x14ac:dyDescent="0.2">
      <c r="J99"/>
      <c r="Q99"/>
    </row>
    <row r="100" spans="10:17" x14ac:dyDescent="0.2">
      <c r="J100"/>
      <c r="Q100"/>
    </row>
    <row r="101" spans="10:17" x14ac:dyDescent="0.2">
      <c r="J101"/>
      <c r="Q101"/>
    </row>
    <row r="102" spans="10:17" x14ac:dyDescent="0.2">
      <c r="J102"/>
      <c r="Q102"/>
    </row>
    <row r="103" spans="10:17" x14ac:dyDescent="0.2">
      <c r="J103"/>
      <c r="Q103"/>
    </row>
    <row r="104" spans="10:17" x14ac:dyDescent="0.2">
      <c r="J104"/>
      <c r="Q104"/>
    </row>
    <row r="105" spans="10:17" x14ac:dyDescent="0.2">
      <c r="J105"/>
      <c r="Q105"/>
    </row>
    <row r="106" spans="10:17" x14ac:dyDescent="0.2">
      <c r="J106"/>
      <c r="Q106"/>
    </row>
    <row r="107" spans="10:17" x14ac:dyDescent="0.2">
      <c r="J107"/>
      <c r="Q107"/>
    </row>
    <row r="108" spans="10:17" x14ac:dyDescent="0.2">
      <c r="J108"/>
      <c r="Q108"/>
    </row>
    <row r="109" spans="10:17" x14ac:dyDescent="0.2">
      <c r="J109"/>
      <c r="Q109"/>
    </row>
    <row r="110" spans="10:17" x14ac:dyDescent="0.2">
      <c r="J110"/>
      <c r="Q110"/>
    </row>
    <row r="111" spans="10:17" x14ac:dyDescent="0.2">
      <c r="J111"/>
      <c r="Q111"/>
    </row>
    <row r="112" spans="10:17" x14ac:dyDescent="0.2">
      <c r="J112"/>
      <c r="Q112"/>
    </row>
    <row r="113" spans="10:17" x14ac:dyDescent="0.2">
      <c r="J113"/>
      <c r="Q113"/>
    </row>
    <row r="114" spans="10:17" x14ac:dyDescent="0.2">
      <c r="J114"/>
      <c r="Q114"/>
    </row>
    <row r="115" spans="10:17" x14ac:dyDescent="0.2">
      <c r="J115"/>
      <c r="Q115"/>
    </row>
    <row r="116" spans="10:17" x14ac:dyDescent="0.2">
      <c r="J116"/>
      <c r="Q116"/>
    </row>
    <row r="117" spans="10:17" x14ac:dyDescent="0.2">
      <c r="J117"/>
      <c r="Q117"/>
    </row>
    <row r="118" spans="10:17" x14ac:dyDescent="0.2">
      <c r="J118"/>
      <c r="Q118"/>
    </row>
    <row r="119" spans="10:17" x14ac:dyDescent="0.2">
      <c r="J119"/>
      <c r="Q119"/>
    </row>
    <row r="120" spans="10:17" x14ac:dyDescent="0.2">
      <c r="J120"/>
      <c r="Q120"/>
    </row>
    <row r="121" spans="10:17" x14ac:dyDescent="0.2">
      <c r="J121"/>
      <c r="Q121"/>
    </row>
    <row r="122" spans="10:17" x14ac:dyDescent="0.2">
      <c r="J122"/>
      <c r="Q122"/>
    </row>
    <row r="123" spans="10:17" x14ac:dyDescent="0.2">
      <c r="J123"/>
      <c r="Q123"/>
    </row>
    <row r="124" spans="10:17" x14ac:dyDescent="0.2">
      <c r="J124"/>
      <c r="Q124"/>
    </row>
    <row r="125" spans="10:17" x14ac:dyDescent="0.2">
      <c r="J125"/>
      <c r="Q125"/>
    </row>
    <row r="126" spans="10:17" x14ac:dyDescent="0.2">
      <c r="J126"/>
      <c r="Q126"/>
    </row>
    <row r="127" spans="10:17" x14ac:dyDescent="0.2">
      <c r="J127"/>
      <c r="Q127"/>
    </row>
    <row r="128" spans="10:17" x14ac:dyDescent="0.2">
      <c r="J128"/>
      <c r="Q128"/>
    </row>
    <row r="129" spans="10:17" x14ac:dyDescent="0.2">
      <c r="J129"/>
      <c r="Q129"/>
    </row>
    <row r="130" spans="10:17" x14ac:dyDescent="0.2">
      <c r="J130"/>
      <c r="Q130"/>
    </row>
    <row r="131" spans="10:17" x14ac:dyDescent="0.2">
      <c r="J131"/>
      <c r="Q131"/>
    </row>
    <row r="132" spans="10:17" x14ac:dyDescent="0.2">
      <c r="J132"/>
      <c r="Q132"/>
    </row>
    <row r="133" spans="10:17" x14ac:dyDescent="0.2">
      <c r="J133"/>
      <c r="Q133"/>
    </row>
    <row r="134" spans="10:17" x14ac:dyDescent="0.2">
      <c r="J134"/>
      <c r="Q134"/>
    </row>
    <row r="135" spans="10:17" x14ac:dyDescent="0.2">
      <c r="J135"/>
      <c r="Q135"/>
    </row>
    <row r="136" spans="10:17" x14ac:dyDescent="0.2">
      <c r="J136"/>
      <c r="Q136"/>
    </row>
    <row r="137" spans="10:17" x14ac:dyDescent="0.2">
      <c r="J137"/>
      <c r="Q137"/>
    </row>
    <row r="138" spans="10:17" x14ac:dyDescent="0.2">
      <c r="J138"/>
      <c r="Q138"/>
    </row>
    <row r="139" spans="10:17" x14ac:dyDescent="0.2">
      <c r="J139"/>
      <c r="Q139"/>
    </row>
    <row r="140" spans="10:17" x14ac:dyDescent="0.2">
      <c r="J140"/>
      <c r="Q140"/>
    </row>
    <row r="141" spans="10:17" x14ac:dyDescent="0.2">
      <c r="J141"/>
      <c r="Q141"/>
    </row>
    <row r="142" spans="10:17" x14ac:dyDescent="0.2">
      <c r="J142"/>
      <c r="Q142"/>
    </row>
    <row r="143" spans="10:17" x14ac:dyDescent="0.2">
      <c r="J143"/>
      <c r="Q143"/>
    </row>
    <row r="144" spans="10:17" x14ac:dyDescent="0.2">
      <c r="J144"/>
      <c r="Q144"/>
    </row>
    <row r="145" spans="10:17" x14ac:dyDescent="0.2">
      <c r="J145"/>
      <c r="Q145"/>
    </row>
    <row r="146" spans="10:17" x14ac:dyDescent="0.2">
      <c r="J146"/>
      <c r="Q146"/>
    </row>
    <row r="147" spans="10:17" x14ac:dyDescent="0.2">
      <c r="J147"/>
      <c r="Q147"/>
    </row>
    <row r="148" spans="10:17" x14ac:dyDescent="0.2">
      <c r="J148"/>
      <c r="Q148"/>
    </row>
    <row r="149" spans="10:17" x14ac:dyDescent="0.2">
      <c r="J149"/>
      <c r="Q149"/>
    </row>
    <row r="150" spans="10:17" x14ac:dyDescent="0.2">
      <c r="J150"/>
      <c r="Q150"/>
    </row>
    <row r="151" spans="10:17" x14ac:dyDescent="0.2">
      <c r="J151"/>
      <c r="Q151"/>
    </row>
    <row r="152" spans="10:17" x14ac:dyDescent="0.2">
      <c r="J152"/>
      <c r="Q152"/>
    </row>
    <row r="153" spans="10:17" x14ac:dyDescent="0.2">
      <c r="J153"/>
      <c r="Q153"/>
    </row>
    <row r="154" spans="10:17" x14ac:dyDescent="0.2">
      <c r="J154"/>
      <c r="Q154"/>
    </row>
    <row r="155" spans="10:17" x14ac:dyDescent="0.2">
      <c r="J155"/>
      <c r="Q155"/>
    </row>
    <row r="156" spans="10:17" x14ac:dyDescent="0.2">
      <c r="J156"/>
      <c r="Q156"/>
    </row>
    <row r="157" spans="10:17" x14ac:dyDescent="0.2">
      <c r="J157"/>
      <c r="Q157"/>
    </row>
    <row r="158" spans="10:17" x14ac:dyDescent="0.2">
      <c r="J158"/>
      <c r="Q158"/>
    </row>
    <row r="159" spans="10:17" x14ac:dyDescent="0.2">
      <c r="J159"/>
      <c r="Q159"/>
    </row>
    <row r="160" spans="10:17" x14ac:dyDescent="0.2">
      <c r="J160"/>
      <c r="Q160"/>
    </row>
    <row r="161" spans="10:17" x14ac:dyDescent="0.2">
      <c r="J161"/>
      <c r="Q161"/>
    </row>
    <row r="162" spans="10:17" x14ac:dyDescent="0.2">
      <c r="J162"/>
      <c r="Q162"/>
    </row>
    <row r="163" spans="10:17" x14ac:dyDescent="0.2">
      <c r="J163"/>
      <c r="Q163"/>
    </row>
    <row r="164" spans="10:17" x14ac:dyDescent="0.2">
      <c r="J164"/>
      <c r="Q164"/>
    </row>
    <row r="165" spans="10:17" x14ac:dyDescent="0.2">
      <c r="J165"/>
      <c r="Q165"/>
    </row>
    <row r="166" spans="10:17" x14ac:dyDescent="0.2">
      <c r="J166"/>
      <c r="Q166"/>
    </row>
    <row r="167" spans="10:17" x14ac:dyDescent="0.2">
      <c r="J167"/>
      <c r="Q167"/>
    </row>
    <row r="168" spans="10:17" x14ac:dyDescent="0.2">
      <c r="J168"/>
      <c r="Q168"/>
    </row>
    <row r="169" spans="10:17" x14ac:dyDescent="0.2">
      <c r="J169"/>
      <c r="Q169"/>
    </row>
    <row r="170" spans="10:17" x14ac:dyDescent="0.2">
      <c r="J170"/>
      <c r="Q170"/>
    </row>
    <row r="171" spans="10:17" x14ac:dyDescent="0.2">
      <c r="J171"/>
      <c r="Q171"/>
    </row>
    <row r="172" spans="10:17" x14ac:dyDescent="0.2">
      <c r="J172"/>
      <c r="Q172"/>
    </row>
    <row r="173" spans="10:17" x14ac:dyDescent="0.2">
      <c r="J173"/>
      <c r="Q173"/>
    </row>
    <row r="174" spans="10:17" x14ac:dyDescent="0.2">
      <c r="J174"/>
      <c r="Q174"/>
    </row>
    <row r="175" spans="10:17" x14ac:dyDescent="0.2">
      <c r="J175"/>
      <c r="Q175"/>
    </row>
    <row r="176" spans="10:17" x14ac:dyDescent="0.2">
      <c r="J176"/>
      <c r="Q176"/>
    </row>
    <row r="177" spans="10:17" x14ac:dyDescent="0.2">
      <c r="J177"/>
      <c r="Q177"/>
    </row>
    <row r="178" spans="10:17" x14ac:dyDescent="0.2">
      <c r="J178"/>
      <c r="Q178"/>
    </row>
    <row r="179" spans="10:17" x14ac:dyDescent="0.2">
      <c r="J179"/>
      <c r="Q179"/>
    </row>
    <row r="180" spans="10:17" x14ac:dyDescent="0.2">
      <c r="J180"/>
      <c r="Q180"/>
    </row>
    <row r="181" spans="10:17" x14ac:dyDescent="0.2">
      <c r="J181"/>
      <c r="Q181"/>
    </row>
    <row r="182" spans="10:17" x14ac:dyDescent="0.2">
      <c r="J182"/>
      <c r="Q182"/>
    </row>
    <row r="183" spans="10:17" x14ac:dyDescent="0.2">
      <c r="J183"/>
      <c r="Q183"/>
    </row>
    <row r="184" spans="10:17" x14ac:dyDescent="0.2">
      <c r="J184"/>
      <c r="Q184"/>
    </row>
    <row r="185" spans="10:17" x14ac:dyDescent="0.2">
      <c r="J185"/>
      <c r="Q185"/>
    </row>
    <row r="186" spans="10:17" x14ac:dyDescent="0.2">
      <c r="J186"/>
      <c r="Q186"/>
    </row>
    <row r="187" spans="10:17" x14ac:dyDescent="0.2">
      <c r="J187"/>
      <c r="Q187"/>
    </row>
    <row r="188" spans="10:17" x14ac:dyDescent="0.2">
      <c r="J188"/>
      <c r="Q188"/>
    </row>
    <row r="189" spans="10:17" x14ac:dyDescent="0.2">
      <c r="J189"/>
      <c r="Q189"/>
    </row>
    <row r="190" spans="10:17" x14ac:dyDescent="0.2">
      <c r="J190"/>
      <c r="Q190"/>
    </row>
    <row r="191" spans="10:17" x14ac:dyDescent="0.2">
      <c r="J191"/>
      <c r="Q191"/>
    </row>
    <row r="192" spans="10:17" x14ac:dyDescent="0.2">
      <c r="J192"/>
      <c r="Q192"/>
    </row>
    <row r="193" spans="10:17" x14ac:dyDescent="0.2">
      <c r="J193"/>
      <c r="Q193"/>
    </row>
    <row r="194" spans="10:17" x14ac:dyDescent="0.2">
      <c r="J194"/>
      <c r="Q194"/>
    </row>
    <row r="195" spans="10:17" x14ac:dyDescent="0.2">
      <c r="J195"/>
      <c r="Q195"/>
    </row>
    <row r="196" spans="10:17" x14ac:dyDescent="0.2">
      <c r="J196"/>
      <c r="Q196"/>
    </row>
    <row r="197" spans="10:17" x14ac:dyDescent="0.2">
      <c r="J197"/>
      <c r="Q197"/>
    </row>
    <row r="198" spans="10:17" x14ac:dyDescent="0.2">
      <c r="J198"/>
      <c r="Q198"/>
    </row>
    <row r="199" spans="10:17" x14ac:dyDescent="0.2">
      <c r="J199"/>
      <c r="Q199"/>
    </row>
    <row r="200" spans="10:17" x14ac:dyDescent="0.2">
      <c r="J200"/>
      <c r="Q200"/>
    </row>
    <row r="201" spans="10:17" x14ac:dyDescent="0.2">
      <c r="J201"/>
      <c r="Q201"/>
    </row>
    <row r="202" spans="10:17" x14ac:dyDescent="0.2">
      <c r="J202"/>
      <c r="Q202"/>
    </row>
    <row r="203" spans="10:17" x14ac:dyDescent="0.2">
      <c r="J203"/>
      <c r="Q203"/>
    </row>
    <row r="204" spans="10:17" x14ac:dyDescent="0.2">
      <c r="J204"/>
      <c r="Q204"/>
    </row>
    <row r="205" spans="10:17" x14ac:dyDescent="0.2">
      <c r="J205"/>
      <c r="Q205"/>
    </row>
    <row r="206" spans="10:17" x14ac:dyDescent="0.2">
      <c r="J206"/>
      <c r="Q206"/>
    </row>
    <row r="207" spans="10:17" x14ac:dyDescent="0.2">
      <c r="J207"/>
      <c r="Q207"/>
    </row>
    <row r="208" spans="10:17" x14ac:dyDescent="0.2">
      <c r="J208"/>
      <c r="Q208"/>
    </row>
    <row r="209" spans="10:17" x14ac:dyDescent="0.2">
      <c r="J209"/>
      <c r="Q209"/>
    </row>
    <row r="210" spans="10:17" x14ac:dyDescent="0.2">
      <c r="J210"/>
      <c r="Q210"/>
    </row>
    <row r="211" spans="10:17" x14ac:dyDescent="0.2">
      <c r="J211"/>
      <c r="Q211"/>
    </row>
    <row r="212" spans="10:17" x14ac:dyDescent="0.2">
      <c r="J212"/>
      <c r="Q212"/>
    </row>
    <row r="213" spans="10:17" x14ac:dyDescent="0.2">
      <c r="J213"/>
      <c r="Q213"/>
    </row>
    <row r="214" spans="10:17" x14ac:dyDescent="0.2">
      <c r="J214"/>
      <c r="Q214"/>
    </row>
    <row r="215" spans="10:17" x14ac:dyDescent="0.2">
      <c r="J215"/>
      <c r="Q215"/>
    </row>
    <row r="216" spans="10:17" x14ac:dyDescent="0.2">
      <c r="J216"/>
      <c r="Q216"/>
    </row>
    <row r="217" spans="10:17" x14ac:dyDescent="0.2">
      <c r="J217"/>
      <c r="Q217"/>
    </row>
    <row r="218" spans="10:17" x14ac:dyDescent="0.2">
      <c r="J218"/>
      <c r="Q218"/>
    </row>
    <row r="219" spans="10:17" x14ac:dyDescent="0.2">
      <c r="J219"/>
      <c r="Q219"/>
    </row>
    <row r="220" spans="10:17" x14ac:dyDescent="0.2">
      <c r="J220"/>
      <c r="Q220"/>
    </row>
    <row r="221" spans="10:17" x14ac:dyDescent="0.2">
      <c r="J221"/>
      <c r="Q221"/>
    </row>
    <row r="222" spans="10:17" x14ac:dyDescent="0.2">
      <c r="J222"/>
      <c r="Q222"/>
    </row>
    <row r="223" spans="10:17" x14ac:dyDescent="0.2">
      <c r="J223"/>
      <c r="Q223"/>
    </row>
    <row r="224" spans="10:17" x14ac:dyDescent="0.2">
      <c r="J224"/>
      <c r="Q224"/>
    </row>
    <row r="225" spans="10:17" x14ac:dyDescent="0.2">
      <c r="J225"/>
      <c r="Q225"/>
    </row>
    <row r="226" spans="10:17" x14ac:dyDescent="0.2">
      <c r="J226"/>
      <c r="Q226"/>
    </row>
    <row r="227" spans="10:17" x14ac:dyDescent="0.2">
      <c r="J227"/>
      <c r="Q227"/>
    </row>
    <row r="228" spans="10:17" x14ac:dyDescent="0.2">
      <c r="J228"/>
      <c r="Q228"/>
    </row>
    <row r="229" spans="10:17" x14ac:dyDescent="0.2">
      <c r="J229"/>
      <c r="Q229"/>
    </row>
    <row r="230" spans="10:17" x14ac:dyDescent="0.2">
      <c r="J230"/>
      <c r="Q230"/>
    </row>
    <row r="231" spans="10:17" x14ac:dyDescent="0.2">
      <c r="J231"/>
      <c r="Q231"/>
    </row>
    <row r="232" spans="10:17" x14ac:dyDescent="0.2">
      <c r="J232"/>
      <c r="Q232"/>
    </row>
    <row r="233" spans="10:17" x14ac:dyDescent="0.2">
      <c r="J233"/>
      <c r="Q233"/>
    </row>
    <row r="234" spans="10:17" x14ac:dyDescent="0.2">
      <c r="J234"/>
      <c r="Q234"/>
    </row>
    <row r="235" spans="10:17" x14ac:dyDescent="0.2">
      <c r="J235"/>
      <c r="Q235"/>
    </row>
    <row r="236" spans="10:17" x14ac:dyDescent="0.2">
      <c r="J236"/>
      <c r="Q236"/>
    </row>
    <row r="237" spans="10:17" x14ac:dyDescent="0.2">
      <c r="J237"/>
      <c r="Q237"/>
    </row>
    <row r="238" spans="10:17" x14ac:dyDescent="0.2">
      <c r="J238"/>
      <c r="Q238"/>
    </row>
    <row r="239" spans="10:17" x14ac:dyDescent="0.2">
      <c r="J239"/>
      <c r="Q239"/>
    </row>
    <row r="240" spans="10:17" x14ac:dyDescent="0.2">
      <c r="J240"/>
      <c r="Q240"/>
    </row>
    <row r="241" spans="1:18" x14ac:dyDescent="0.2">
      <c r="J241"/>
      <c r="Q241"/>
    </row>
    <row r="242" spans="1:18" x14ac:dyDescent="0.2">
      <c r="J242"/>
      <c r="Q242"/>
    </row>
    <row r="243" spans="1:18" x14ac:dyDescent="0.2">
      <c r="J243"/>
      <c r="Q243"/>
    </row>
    <row r="244" spans="1:18" ht="15" x14ac:dyDescent="0.25">
      <c r="A244" s="20"/>
      <c r="B244" s="28"/>
      <c r="C244" s="20"/>
      <c r="D244" s="28"/>
      <c r="E244" s="20"/>
      <c r="F244" s="28"/>
      <c r="G244" s="20"/>
      <c r="H244" s="20"/>
      <c r="I244" s="20"/>
      <c r="J244" s="44"/>
      <c r="K244" s="29"/>
      <c r="L244" s="20"/>
      <c r="M244" s="31"/>
      <c r="N244" s="31"/>
      <c r="O244" s="30"/>
      <c r="P244" s="30"/>
      <c r="Q244" s="33"/>
      <c r="R244" s="34"/>
    </row>
    <row r="245" spans="1:18" s="13" customFormat="1" ht="15" x14ac:dyDescent="0.25">
      <c r="A245" s="20"/>
      <c r="B245" s="28"/>
      <c r="C245" s="20"/>
      <c r="D245" s="28"/>
      <c r="E245" s="20"/>
      <c r="F245" s="28"/>
      <c r="G245" s="20"/>
      <c r="H245" s="20"/>
      <c r="I245" s="20"/>
      <c r="J245" s="44"/>
      <c r="K245" s="29"/>
      <c r="L245" s="20"/>
      <c r="M245" s="31"/>
      <c r="N245" s="31"/>
      <c r="O245" s="30"/>
      <c r="P245" s="30"/>
      <c r="Q245" s="33"/>
      <c r="R245" s="34"/>
    </row>
    <row r="246" spans="1:18" s="13" customFormat="1" ht="15" x14ac:dyDescent="0.25">
      <c r="A246" s="20"/>
      <c r="B246" s="28"/>
      <c r="C246" s="20"/>
      <c r="D246" s="28"/>
      <c r="E246" s="20"/>
      <c r="F246" s="28"/>
      <c r="G246" s="20"/>
      <c r="H246" s="20"/>
      <c r="I246" s="20"/>
      <c r="J246" s="44"/>
      <c r="K246" s="29"/>
      <c r="L246" s="20"/>
      <c r="M246" s="31"/>
      <c r="N246" s="31"/>
      <c r="O246" s="30"/>
      <c r="P246" s="30"/>
      <c r="Q246" s="33"/>
      <c r="R246" s="34"/>
    </row>
    <row r="247" spans="1:18" s="13" customFormat="1" ht="15" x14ac:dyDescent="0.25">
      <c r="A247" s="20"/>
      <c r="B247" s="28"/>
      <c r="C247" s="20"/>
      <c r="D247" s="28"/>
      <c r="E247" s="20"/>
      <c r="F247" s="28"/>
      <c r="G247" s="20"/>
      <c r="H247" s="20"/>
      <c r="I247" s="20"/>
      <c r="J247" s="44"/>
      <c r="K247" s="29"/>
      <c r="L247" s="20"/>
      <c r="M247" s="31"/>
      <c r="N247" s="31"/>
      <c r="O247" s="30"/>
      <c r="P247" s="30"/>
      <c r="Q247" s="33"/>
      <c r="R247" s="34"/>
    </row>
    <row r="248" spans="1:18" s="13" customFormat="1" ht="15" x14ac:dyDescent="0.25">
      <c r="A248" s="20"/>
      <c r="B248" s="28"/>
      <c r="C248" s="20"/>
      <c r="D248" s="28"/>
      <c r="E248" s="20"/>
      <c r="F248" s="28"/>
      <c r="G248" s="20"/>
      <c r="H248" s="20"/>
      <c r="I248" s="20"/>
      <c r="J248" s="44"/>
      <c r="K248" s="29"/>
      <c r="L248" s="20"/>
      <c r="M248" s="31"/>
      <c r="N248" s="31"/>
      <c r="O248" s="30"/>
      <c r="P248" s="30"/>
      <c r="Q248" s="33"/>
      <c r="R248" s="34"/>
    </row>
    <row r="249" spans="1:18" s="13" customFormat="1" x14ac:dyDescent="0.2">
      <c r="A249"/>
      <c r="B249"/>
      <c r="C249"/>
      <c r="D249"/>
      <c r="E249"/>
      <c r="F249"/>
      <c r="G249"/>
      <c r="H249"/>
      <c r="I249"/>
      <c r="J249" s="42"/>
      <c r="K249"/>
      <c r="L249"/>
      <c r="M249"/>
      <c r="N249"/>
      <c r="O249"/>
      <c r="P249"/>
      <c r="Q249" s="32"/>
      <c r="R249"/>
    </row>
  </sheetData>
  <dataValidations count="1">
    <dataValidation type="list" showInputMessage="1" sqref="C244:D248" xr:uid="{00000000-0002-0000-0E00-000000000000}">
      <formula1>KhoanChiNho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CA6DD304-513A-42D0-AECF-238838254ADD}">
            <xm:f>NOT(ISERROR(SEARCH("#N/A",K3)))</xm:f>
            <xm:f>"#N/A"</xm:f>
            <x14:dxf>
              <numFmt numFmtId="1" formatCode="0"/>
              <fill>
                <patternFill patternType="none">
                  <bgColor auto="1"/>
                </patternFill>
              </fill>
            </x14:dxf>
          </x14:cfRule>
          <xm:sqref>K86 K3:K6</xm:sqref>
        </x14:conditionalFormatting>
        <x14:conditionalFormatting xmlns:xm="http://schemas.microsoft.com/office/excel/2006/main">
          <x14:cfRule type="containsText" priority="1" operator="containsText" id="{8C92EE3C-BA4F-4DA7-9110-EC5241793C99}">
            <xm:f>NOT(ISERROR(SEARCH("#N/A",K11)))</xm:f>
            <xm:f>"#N/A"</xm:f>
            <x14:dxf>
              <numFmt numFmtId="1" formatCode="0"/>
              <fill>
                <patternFill patternType="none">
                  <bgColor auto="1"/>
                </patternFill>
              </fill>
            </x14:dxf>
          </x14:cfRule>
          <xm:sqref>K11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xr:uid="{00000000-0002-0000-0E00-000001000000}">
          <x14:formula1>
            <xm:f>InputDuToan!$B$4:$B$19</xm:f>
          </x14:formula1>
          <xm:sqref>K244:K248</xm:sqref>
        </x14:dataValidation>
        <x14:dataValidation type="list" showInputMessage="1" xr:uid="{00000000-0002-0000-0E00-000002000000}">
          <x14:formula1>
            <xm:f>InputDuToan!$Z$4:$Z$19</xm:f>
          </x14:formula1>
          <xm:sqref>E244:I248</xm:sqref>
        </x14:dataValidation>
        <x14:dataValidation type="list" showInputMessage="1" xr:uid="{00000000-0002-0000-0E00-000003000000}">
          <x14:formula1>
            <xm:f>InputDuToan!$M$4:$M$8</xm:f>
          </x14:formula1>
          <xm:sqref>A244:B248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NhapKho">
    <tabColor theme="9" tint="0.79998168889431442"/>
  </sheetPr>
  <dimension ref="A1:T985"/>
  <sheetViews>
    <sheetView workbookViewId="0">
      <selection activeCell="G20" sqref="G20"/>
    </sheetView>
  </sheetViews>
  <sheetFormatPr defaultRowHeight="14.25" x14ac:dyDescent="0.2"/>
  <cols>
    <col min="2" max="2" width="11.625" bestFit="1" customWidth="1"/>
    <col min="3" max="3" width="6.125" bestFit="1" customWidth="1"/>
    <col min="4" max="4" width="10.75" bestFit="1" customWidth="1"/>
    <col min="5" max="5" width="16.375" customWidth="1"/>
    <col min="6" max="6" width="19.625" bestFit="1" customWidth="1"/>
    <col min="7" max="7" width="14.625" customWidth="1"/>
    <col min="8" max="8" width="15.375" bestFit="1" customWidth="1"/>
    <col min="9" max="9" width="10.125" customWidth="1"/>
    <col min="10" max="10" width="10.375" bestFit="1" customWidth="1"/>
    <col min="11" max="11" width="8.875" bestFit="1" customWidth="1"/>
    <col min="12" max="12" width="14.5" customWidth="1"/>
  </cols>
  <sheetData>
    <row r="1" spans="1:20" x14ac:dyDescent="0.2">
      <c r="A1" t="s">
        <v>4015</v>
      </c>
      <c r="B1" t="s">
        <v>40</v>
      </c>
      <c r="C1" t="s">
        <v>62</v>
      </c>
      <c r="D1" t="s">
        <v>41</v>
      </c>
      <c r="E1" t="s">
        <v>18</v>
      </c>
      <c r="F1" t="s">
        <v>19</v>
      </c>
      <c r="G1" t="s">
        <v>9</v>
      </c>
      <c r="H1" t="s">
        <v>42</v>
      </c>
      <c r="I1" t="s">
        <v>44</v>
      </c>
      <c r="J1" t="s">
        <v>45</v>
      </c>
      <c r="K1" t="s">
        <v>16</v>
      </c>
      <c r="L1" t="s">
        <v>20</v>
      </c>
      <c r="S1" t="s">
        <v>5</v>
      </c>
      <c r="T1" t="s">
        <v>0</v>
      </c>
    </row>
    <row r="2" spans="1:20" x14ac:dyDescent="0.2">
      <c r="B2">
        <v>4</v>
      </c>
      <c r="C2">
        <v>1</v>
      </c>
      <c r="D2" t="s">
        <v>33</v>
      </c>
      <c r="E2" s="5" t="s">
        <v>37</v>
      </c>
      <c r="F2" t="s">
        <v>469</v>
      </c>
      <c r="G2" t="s">
        <v>34</v>
      </c>
      <c r="H2" t="s">
        <v>35</v>
      </c>
      <c r="I2" t="s">
        <v>46</v>
      </c>
      <c r="J2" t="s">
        <v>28</v>
      </c>
      <c r="K2">
        <v>100</v>
      </c>
      <c r="L2" t="s">
        <v>8</v>
      </c>
      <c r="S2">
        <v>5</v>
      </c>
    </row>
    <row r="3" spans="1:20" x14ac:dyDescent="0.2">
      <c r="B3">
        <v>7</v>
      </c>
      <c r="C3">
        <v>4</v>
      </c>
      <c r="D3" t="s">
        <v>43</v>
      </c>
      <c r="E3" s="5">
        <v>45102</v>
      </c>
      <c r="F3" t="s">
        <v>38</v>
      </c>
      <c r="G3" t="s">
        <v>49</v>
      </c>
      <c r="H3" t="s">
        <v>35</v>
      </c>
      <c r="I3" t="s">
        <v>46</v>
      </c>
      <c r="J3" t="s">
        <v>28</v>
      </c>
      <c r="K3">
        <v>103</v>
      </c>
      <c r="L3" t="s">
        <v>8</v>
      </c>
      <c r="S3">
        <v>15</v>
      </c>
    </row>
    <row r="4" spans="1:20" x14ac:dyDescent="0.2">
      <c r="B4">
        <v>8</v>
      </c>
      <c r="C4">
        <v>5</v>
      </c>
      <c r="D4" t="s">
        <v>50</v>
      </c>
      <c r="E4" s="5">
        <v>45103</v>
      </c>
      <c r="F4" t="s">
        <v>470</v>
      </c>
      <c r="G4" t="s">
        <v>51</v>
      </c>
      <c r="H4" t="s">
        <v>35</v>
      </c>
      <c r="I4" t="s">
        <v>46</v>
      </c>
      <c r="J4" t="s">
        <v>28</v>
      </c>
      <c r="K4">
        <v>104</v>
      </c>
      <c r="L4" t="s">
        <v>8</v>
      </c>
    </row>
    <row r="5" spans="1:20" x14ac:dyDescent="0.2">
      <c r="B5">
        <v>9</v>
      </c>
      <c r="C5">
        <v>6</v>
      </c>
      <c r="D5" t="s">
        <v>52</v>
      </c>
      <c r="E5" s="5" t="s">
        <v>37</v>
      </c>
      <c r="F5" t="s">
        <v>38</v>
      </c>
      <c r="G5" t="s">
        <v>53</v>
      </c>
      <c r="H5" t="s">
        <v>35</v>
      </c>
      <c r="I5" t="s">
        <v>46</v>
      </c>
      <c r="J5" t="s">
        <v>28</v>
      </c>
      <c r="K5">
        <v>105</v>
      </c>
      <c r="L5" t="s">
        <v>8</v>
      </c>
    </row>
    <row r="6" spans="1:20" x14ac:dyDescent="0.2">
      <c r="B6">
        <v>10</v>
      </c>
      <c r="C6">
        <v>7</v>
      </c>
      <c r="D6" t="s">
        <v>54</v>
      </c>
      <c r="E6" s="5">
        <v>45078</v>
      </c>
      <c r="F6" t="s">
        <v>63</v>
      </c>
      <c r="G6" t="s">
        <v>55</v>
      </c>
      <c r="H6" t="s">
        <v>35</v>
      </c>
      <c r="I6" t="s">
        <v>46</v>
      </c>
      <c r="J6" t="s">
        <v>28</v>
      </c>
      <c r="K6">
        <v>106</v>
      </c>
      <c r="L6" t="s">
        <v>8</v>
      </c>
    </row>
    <row r="7" spans="1:20" x14ac:dyDescent="0.2">
      <c r="B7">
        <v>11</v>
      </c>
      <c r="C7">
        <v>8</v>
      </c>
      <c r="D7" t="s">
        <v>56</v>
      </c>
      <c r="E7" s="5">
        <v>45078</v>
      </c>
      <c r="F7" t="s">
        <v>36</v>
      </c>
      <c r="G7" t="s">
        <v>57</v>
      </c>
      <c r="H7" t="s">
        <v>35</v>
      </c>
      <c r="I7" t="s">
        <v>46</v>
      </c>
      <c r="J7" t="s">
        <v>28</v>
      </c>
      <c r="K7">
        <v>107</v>
      </c>
      <c r="L7" t="s">
        <v>8</v>
      </c>
    </row>
    <row r="8" spans="1:20" x14ac:dyDescent="0.2">
      <c r="B8">
        <v>13</v>
      </c>
      <c r="C8">
        <v>9</v>
      </c>
      <c r="D8" t="s">
        <v>58</v>
      </c>
      <c r="E8" s="5">
        <v>45047</v>
      </c>
      <c r="F8" t="s">
        <v>64</v>
      </c>
      <c r="G8" t="s">
        <v>59</v>
      </c>
      <c r="H8" t="s">
        <v>35</v>
      </c>
      <c r="I8" t="s">
        <v>46</v>
      </c>
      <c r="J8" t="s">
        <v>28</v>
      </c>
      <c r="K8">
        <v>109</v>
      </c>
      <c r="L8" t="s">
        <v>8</v>
      </c>
    </row>
    <row r="9" spans="1:20" x14ac:dyDescent="0.2">
      <c r="B9">
        <v>15</v>
      </c>
      <c r="C9">
        <v>11</v>
      </c>
      <c r="D9" t="s">
        <v>60</v>
      </c>
      <c r="E9" s="5">
        <v>45078</v>
      </c>
      <c r="F9" t="s">
        <v>36</v>
      </c>
      <c r="G9" t="s">
        <v>61</v>
      </c>
      <c r="H9" t="s">
        <v>35</v>
      </c>
      <c r="I9" t="s">
        <v>46</v>
      </c>
      <c r="J9" t="s">
        <v>28</v>
      </c>
      <c r="K9">
        <v>111</v>
      </c>
      <c r="L9" t="s">
        <v>8</v>
      </c>
    </row>
    <row r="10" spans="1:20" x14ac:dyDescent="0.2">
      <c r="B10">
        <v>15</v>
      </c>
      <c r="C10">
        <v>16</v>
      </c>
      <c r="D10" t="s">
        <v>445</v>
      </c>
      <c r="E10" s="1">
        <v>45078</v>
      </c>
      <c r="F10" t="s">
        <v>36</v>
      </c>
      <c r="G10" t="s">
        <v>446</v>
      </c>
      <c r="I10" t="s">
        <v>443</v>
      </c>
      <c r="J10" t="s">
        <v>444</v>
      </c>
      <c r="K10">
        <v>111</v>
      </c>
    </row>
    <row r="11" spans="1:20" x14ac:dyDescent="0.2">
      <c r="B11">
        <v>13</v>
      </c>
      <c r="C11">
        <v>17</v>
      </c>
      <c r="D11" t="s">
        <v>450</v>
      </c>
      <c r="E11" s="1">
        <v>45047</v>
      </c>
      <c r="F11" t="s">
        <v>64</v>
      </c>
      <c r="G11" t="s">
        <v>468</v>
      </c>
      <c r="I11" t="s">
        <v>443</v>
      </c>
      <c r="J11" t="s">
        <v>444</v>
      </c>
      <c r="K11">
        <v>109</v>
      </c>
    </row>
    <row r="12" spans="1:20" x14ac:dyDescent="0.2">
      <c r="B12">
        <v>18</v>
      </c>
      <c r="C12">
        <v>12</v>
      </c>
      <c r="D12" t="s">
        <v>454</v>
      </c>
      <c r="E12" s="1">
        <v>45453</v>
      </c>
      <c r="F12" t="s">
        <v>469</v>
      </c>
      <c r="G12" t="s">
        <v>442</v>
      </c>
      <c r="I12" t="s">
        <v>443</v>
      </c>
      <c r="J12" t="s">
        <v>444</v>
      </c>
      <c r="K12">
        <v>50</v>
      </c>
    </row>
    <row r="13" spans="1:20" x14ac:dyDescent="0.2">
      <c r="B13">
        <v>15</v>
      </c>
      <c r="C13">
        <v>12</v>
      </c>
      <c r="D13" t="s">
        <v>445</v>
      </c>
      <c r="E13" s="1">
        <v>45078</v>
      </c>
      <c r="F13" t="s">
        <v>36</v>
      </c>
      <c r="G13" t="s">
        <v>446</v>
      </c>
      <c r="I13" t="s">
        <v>443</v>
      </c>
      <c r="J13" t="s">
        <v>444</v>
      </c>
      <c r="K13">
        <v>111</v>
      </c>
    </row>
    <row r="14" spans="1:20" x14ac:dyDescent="0.2">
      <c r="E14" s="1"/>
    </row>
    <row r="15" spans="1:20" x14ac:dyDescent="0.2">
      <c r="E15" s="1"/>
    </row>
    <row r="16" spans="1:20" x14ac:dyDescent="0.2">
      <c r="E16" s="1"/>
    </row>
    <row r="17" spans="5:5" x14ac:dyDescent="0.2">
      <c r="E17" s="1"/>
    </row>
    <row r="18" spans="5:5" x14ac:dyDescent="0.2">
      <c r="E18" s="1"/>
    </row>
    <row r="19" spans="5:5" x14ac:dyDescent="0.2">
      <c r="E19" s="1"/>
    </row>
    <row r="20" spans="5:5" x14ac:dyDescent="0.2">
      <c r="E20" s="1"/>
    </row>
    <row r="21" spans="5:5" x14ac:dyDescent="0.2">
      <c r="E21" s="1"/>
    </row>
    <row r="22" spans="5:5" x14ac:dyDescent="0.2">
      <c r="E22" s="1"/>
    </row>
    <row r="23" spans="5:5" x14ac:dyDescent="0.2">
      <c r="E23" s="1"/>
    </row>
    <row r="24" spans="5:5" x14ac:dyDescent="0.2">
      <c r="E24" s="1"/>
    </row>
    <row r="25" spans="5:5" x14ac:dyDescent="0.2">
      <c r="E25" s="1"/>
    </row>
    <row r="26" spans="5:5" x14ac:dyDescent="0.2">
      <c r="E26" s="1"/>
    </row>
    <row r="27" spans="5:5" x14ac:dyDescent="0.2">
      <c r="E27" s="1"/>
    </row>
    <row r="28" spans="5:5" x14ac:dyDescent="0.2">
      <c r="E28" s="1"/>
    </row>
    <row r="29" spans="5:5" x14ac:dyDescent="0.2">
      <c r="E29" s="1"/>
    </row>
    <row r="30" spans="5:5" x14ac:dyDescent="0.2">
      <c r="E30" s="1"/>
    </row>
    <row r="31" spans="5:5" x14ac:dyDescent="0.2">
      <c r="E31" s="1"/>
    </row>
    <row r="32" spans="5:5" x14ac:dyDescent="0.2">
      <c r="E32" s="1"/>
    </row>
    <row r="33" spans="5:5" x14ac:dyDescent="0.2">
      <c r="E33" s="1"/>
    </row>
    <row r="34" spans="5:5" x14ac:dyDescent="0.2">
      <c r="E34" s="1"/>
    </row>
    <row r="35" spans="5:5" x14ac:dyDescent="0.2">
      <c r="E35" s="1"/>
    </row>
    <row r="36" spans="5:5" x14ac:dyDescent="0.2">
      <c r="E36" s="1"/>
    </row>
    <row r="37" spans="5:5" x14ac:dyDescent="0.2">
      <c r="E37" s="1"/>
    </row>
    <row r="38" spans="5:5" x14ac:dyDescent="0.2">
      <c r="E38" s="1"/>
    </row>
    <row r="39" spans="5:5" x14ac:dyDescent="0.2">
      <c r="E39" s="1"/>
    </row>
    <row r="40" spans="5:5" x14ac:dyDescent="0.2">
      <c r="E40" s="1"/>
    </row>
    <row r="41" spans="5:5" x14ac:dyDescent="0.2">
      <c r="E41" s="1"/>
    </row>
    <row r="42" spans="5:5" x14ac:dyDescent="0.2">
      <c r="E42" s="1"/>
    </row>
    <row r="43" spans="5:5" x14ac:dyDescent="0.2">
      <c r="E43" s="1"/>
    </row>
    <row r="44" spans="5:5" x14ac:dyDescent="0.2">
      <c r="E44" s="1"/>
    </row>
    <row r="45" spans="5:5" x14ac:dyDescent="0.2">
      <c r="E45" s="1"/>
    </row>
    <row r="46" spans="5:5" x14ac:dyDescent="0.2">
      <c r="E46" s="1"/>
    </row>
    <row r="47" spans="5:5" x14ac:dyDescent="0.2">
      <c r="E47" s="1"/>
    </row>
    <row r="48" spans="5:5" x14ac:dyDescent="0.2">
      <c r="E48" s="1"/>
    </row>
    <row r="49" spans="5:5" x14ac:dyDescent="0.2">
      <c r="E49" s="1"/>
    </row>
    <row r="50" spans="5:5" x14ac:dyDescent="0.2">
      <c r="E50" s="1"/>
    </row>
    <row r="51" spans="5:5" x14ac:dyDescent="0.2">
      <c r="E51" s="1"/>
    </row>
    <row r="52" spans="5:5" x14ac:dyDescent="0.2">
      <c r="E52" s="1"/>
    </row>
    <row r="53" spans="5:5" x14ac:dyDescent="0.2">
      <c r="E53" s="1"/>
    </row>
    <row r="54" spans="5:5" x14ac:dyDescent="0.2">
      <c r="E54" s="1"/>
    </row>
    <row r="55" spans="5:5" x14ac:dyDescent="0.2">
      <c r="E55" s="1"/>
    </row>
    <row r="56" spans="5:5" x14ac:dyDescent="0.2">
      <c r="E56" s="1"/>
    </row>
    <row r="57" spans="5:5" x14ac:dyDescent="0.2">
      <c r="E57" s="1"/>
    </row>
    <row r="58" spans="5:5" x14ac:dyDescent="0.2">
      <c r="E58" s="1"/>
    </row>
    <row r="59" spans="5:5" x14ac:dyDescent="0.2">
      <c r="E59" s="1"/>
    </row>
    <row r="60" spans="5:5" x14ac:dyDescent="0.2">
      <c r="E60" s="1"/>
    </row>
    <row r="61" spans="5:5" x14ac:dyDescent="0.2">
      <c r="E61" s="1"/>
    </row>
    <row r="62" spans="5:5" x14ac:dyDescent="0.2">
      <c r="E62" s="1"/>
    </row>
    <row r="63" spans="5:5" x14ac:dyDescent="0.2">
      <c r="E63" s="1"/>
    </row>
    <row r="64" spans="5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x14ac:dyDescent="0.2">
      <c r="E69" s="1"/>
    </row>
    <row r="70" spans="5:5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  <row r="75" spans="5:5" x14ac:dyDescent="0.2">
      <c r="E75" s="1"/>
    </row>
    <row r="76" spans="5:5" x14ac:dyDescent="0.2">
      <c r="E76" s="1"/>
    </row>
    <row r="77" spans="5:5" x14ac:dyDescent="0.2">
      <c r="E77" s="1"/>
    </row>
    <row r="78" spans="5:5" x14ac:dyDescent="0.2">
      <c r="E78" s="1"/>
    </row>
    <row r="79" spans="5:5" x14ac:dyDescent="0.2">
      <c r="E79" s="1"/>
    </row>
    <row r="80" spans="5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  <row r="91" spans="5:5" x14ac:dyDescent="0.2">
      <c r="E91" s="1"/>
    </row>
    <row r="92" spans="5:5" x14ac:dyDescent="0.2">
      <c r="E92" s="1"/>
    </row>
    <row r="93" spans="5:5" x14ac:dyDescent="0.2">
      <c r="E93" s="1"/>
    </row>
    <row r="94" spans="5:5" x14ac:dyDescent="0.2">
      <c r="E94" s="1"/>
    </row>
    <row r="95" spans="5:5" x14ac:dyDescent="0.2">
      <c r="E95" s="1"/>
    </row>
    <row r="96" spans="5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  <row r="105" spans="5:5" x14ac:dyDescent="0.2">
      <c r="E105" s="1"/>
    </row>
    <row r="106" spans="5:5" x14ac:dyDescent="0.2">
      <c r="E106" s="1"/>
    </row>
    <row r="107" spans="5:5" x14ac:dyDescent="0.2">
      <c r="E107" s="1"/>
    </row>
    <row r="108" spans="5:5" x14ac:dyDescent="0.2">
      <c r="E108" s="1"/>
    </row>
    <row r="109" spans="5:5" x14ac:dyDescent="0.2">
      <c r="E109" s="1"/>
    </row>
    <row r="110" spans="5:5" x14ac:dyDescent="0.2">
      <c r="E110" s="1"/>
    </row>
    <row r="111" spans="5:5" x14ac:dyDescent="0.2">
      <c r="E111" s="1"/>
    </row>
    <row r="112" spans="5:5" x14ac:dyDescent="0.2">
      <c r="E112" s="1"/>
    </row>
    <row r="113" spans="5:5" x14ac:dyDescent="0.2">
      <c r="E113" s="1"/>
    </row>
    <row r="114" spans="5:5" x14ac:dyDescent="0.2">
      <c r="E114" s="1"/>
    </row>
    <row r="115" spans="5:5" x14ac:dyDescent="0.2">
      <c r="E115" s="1"/>
    </row>
    <row r="116" spans="5:5" x14ac:dyDescent="0.2">
      <c r="E116" s="1"/>
    </row>
    <row r="117" spans="5:5" x14ac:dyDescent="0.2">
      <c r="E117" s="1"/>
    </row>
    <row r="118" spans="5:5" x14ac:dyDescent="0.2">
      <c r="E118" s="1"/>
    </row>
    <row r="119" spans="5:5" x14ac:dyDescent="0.2">
      <c r="E119" s="1"/>
    </row>
    <row r="120" spans="5:5" x14ac:dyDescent="0.2">
      <c r="E120" s="1"/>
    </row>
    <row r="121" spans="5:5" x14ac:dyDescent="0.2">
      <c r="E121" s="1"/>
    </row>
    <row r="122" spans="5:5" x14ac:dyDescent="0.2">
      <c r="E122" s="1"/>
    </row>
    <row r="123" spans="5:5" x14ac:dyDescent="0.2">
      <c r="E123" s="1"/>
    </row>
    <row r="124" spans="5:5" x14ac:dyDescent="0.2">
      <c r="E124" s="1"/>
    </row>
    <row r="125" spans="5:5" x14ac:dyDescent="0.2">
      <c r="E125" s="1"/>
    </row>
    <row r="126" spans="5:5" x14ac:dyDescent="0.2">
      <c r="E126" s="1"/>
    </row>
    <row r="127" spans="5:5" x14ac:dyDescent="0.2">
      <c r="E127" s="1"/>
    </row>
    <row r="128" spans="5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  <row r="136" spans="5:5" x14ac:dyDescent="0.2">
      <c r="E136" s="1"/>
    </row>
    <row r="137" spans="5:5" x14ac:dyDescent="0.2">
      <c r="E137" s="1"/>
    </row>
    <row r="138" spans="5:5" x14ac:dyDescent="0.2">
      <c r="E138" s="1"/>
    </row>
    <row r="139" spans="5:5" x14ac:dyDescent="0.2">
      <c r="E139" s="1"/>
    </row>
    <row r="140" spans="5:5" x14ac:dyDescent="0.2">
      <c r="E140" s="1"/>
    </row>
    <row r="141" spans="5:5" x14ac:dyDescent="0.2">
      <c r="E141" s="1"/>
    </row>
    <row r="142" spans="5:5" x14ac:dyDescent="0.2">
      <c r="E142" s="1"/>
    </row>
    <row r="143" spans="5:5" x14ac:dyDescent="0.2">
      <c r="E143" s="1"/>
    </row>
    <row r="144" spans="5:5" x14ac:dyDescent="0.2">
      <c r="E144" s="1"/>
    </row>
    <row r="145" spans="5:5" x14ac:dyDescent="0.2">
      <c r="E145" s="1"/>
    </row>
    <row r="146" spans="5:5" x14ac:dyDescent="0.2">
      <c r="E146" s="1"/>
    </row>
    <row r="147" spans="5:5" x14ac:dyDescent="0.2">
      <c r="E147" s="1"/>
    </row>
    <row r="148" spans="5:5" x14ac:dyDescent="0.2">
      <c r="E148" s="1"/>
    </row>
    <row r="149" spans="5:5" x14ac:dyDescent="0.2">
      <c r="E149" s="1"/>
    </row>
    <row r="150" spans="5:5" x14ac:dyDescent="0.2">
      <c r="E150" s="1"/>
    </row>
    <row r="151" spans="5:5" x14ac:dyDescent="0.2">
      <c r="E151" s="1"/>
    </row>
    <row r="152" spans="5:5" x14ac:dyDescent="0.2">
      <c r="E152" s="1"/>
    </row>
    <row r="153" spans="5:5" x14ac:dyDescent="0.2">
      <c r="E153" s="1"/>
    </row>
    <row r="154" spans="5:5" x14ac:dyDescent="0.2">
      <c r="E154" s="1"/>
    </row>
    <row r="155" spans="5:5" x14ac:dyDescent="0.2">
      <c r="E155" s="1"/>
    </row>
    <row r="156" spans="5:5" x14ac:dyDescent="0.2">
      <c r="E156" s="1"/>
    </row>
    <row r="157" spans="5:5" x14ac:dyDescent="0.2">
      <c r="E157" s="1"/>
    </row>
    <row r="158" spans="5:5" x14ac:dyDescent="0.2">
      <c r="E158" s="1"/>
    </row>
    <row r="159" spans="5:5" x14ac:dyDescent="0.2">
      <c r="E159" s="1"/>
    </row>
    <row r="160" spans="5:5" x14ac:dyDescent="0.2">
      <c r="E160" s="1"/>
    </row>
    <row r="161" spans="5:5" x14ac:dyDescent="0.2">
      <c r="E161" s="1"/>
    </row>
    <row r="162" spans="5:5" x14ac:dyDescent="0.2">
      <c r="E162" s="1"/>
    </row>
    <row r="163" spans="5:5" x14ac:dyDescent="0.2">
      <c r="E163" s="1"/>
    </row>
    <row r="164" spans="5:5" x14ac:dyDescent="0.2">
      <c r="E164" s="1"/>
    </row>
    <row r="165" spans="5:5" x14ac:dyDescent="0.2">
      <c r="E165" s="1"/>
    </row>
    <row r="166" spans="5:5" x14ac:dyDescent="0.2">
      <c r="E166" s="1"/>
    </row>
    <row r="167" spans="5:5" x14ac:dyDescent="0.2">
      <c r="E167" s="1"/>
    </row>
    <row r="168" spans="5:5" x14ac:dyDescent="0.2">
      <c r="E168" s="1"/>
    </row>
    <row r="169" spans="5:5" x14ac:dyDescent="0.2">
      <c r="E169" s="1"/>
    </row>
    <row r="170" spans="5:5" x14ac:dyDescent="0.2">
      <c r="E170" s="1"/>
    </row>
    <row r="171" spans="5:5" x14ac:dyDescent="0.2">
      <c r="E171" s="1"/>
    </row>
    <row r="172" spans="5:5" x14ac:dyDescent="0.2">
      <c r="E172" s="1"/>
    </row>
    <row r="173" spans="5:5" x14ac:dyDescent="0.2">
      <c r="E173" s="1"/>
    </row>
    <row r="174" spans="5:5" x14ac:dyDescent="0.2">
      <c r="E174" s="1"/>
    </row>
    <row r="175" spans="5:5" x14ac:dyDescent="0.2">
      <c r="E175" s="1"/>
    </row>
    <row r="176" spans="5:5" x14ac:dyDescent="0.2">
      <c r="E176" s="1"/>
    </row>
    <row r="177" spans="5:5" x14ac:dyDescent="0.2">
      <c r="E177" s="1"/>
    </row>
    <row r="178" spans="5:5" x14ac:dyDescent="0.2">
      <c r="E178" s="1"/>
    </row>
    <row r="179" spans="5:5" x14ac:dyDescent="0.2">
      <c r="E179" s="1"/>
    </row>
    <row r="180" spans="5:5" x14ac:dyDescent="0.2">
      <c r="E180" s="1"/>
    </row>
    <row r="181" spans="5:5" x14ac:dyDescent="0.2">
      <c r="E181" s="1"/>
    </row>
    <row r="182" spans="5:5" x14ac:dyDescent="0.2">
      <c r="E182" s="1"/>
    </row>
    <row r="183" spans="5:5" x14ac:dyDescent="0.2">
      <c r="E183" s="1"/>
    </row>
    <row r="184" spans="5:5" x14ac:dyDescent="0.2">
      <c r="E184" s="1"/>
    </row>
    <row r="185" spans="5:5" x14ac:dyDescent="0.2">
      <c r="E185" s="1"/>
    </row>
    <row r="186" spans="5:5" x14ac:dyDescent="0.2">
      <c r="E186" s="1"/>
    </row>
    <row r="187" spans="5:5" x14ac:dyDescent="0.2">
      <c r="E187" s="1"/>
    </row>
    <row r="188" spans="5:5" x14ac:dyDescent="0.2">
      <c r="E188" s="1"/>
    </row>
    <row r="189" spans="5:5" x14ac:dyDescent="0.2">
      <c r="E189" s="1"/>
    </row>
    <row r="190" spans="5:5" x14ac:dyDescent="0.2">
      <c r="E190" s="1"/>
    </row>
    <row r="191" spans="5:5" x14ac:dyDescent="0.2">
      <c r="E191" s="1"/>
    </row>
    <row r="192" spans="5:5" x14ac:dyDescent="0.2">
      <c r="E192" s="1"/>
    </row>
    <row r="193" spans="5:5" x14ac:dyDescent="0.2">
      <c r="E193" s="1"/>
    </row>
    <row r="194" spans="5:5" x14ac:dyDescent="0.2">
      <c r="E194" s="1"/>
    </row>
    <row r="195" spans="5:5" x14ac:dyDescent="0.2">
      <c r="E195" s="1"/>
    </row>
    <row r="196" spans="5:5" x14ac:dyDescent="0.2">
      <c r="E196" s="1"/>
    </row>
    <row r="197" spans="5:5" x14ac:dyDescent="0.2">
      <c r="E197" s="1"/>
    </row>
    <row r="198" spans="5:5" x14ac:dyDescent="0.2">
      <c r="E198" s="1"/>
    </row>
    <row r="199" spans="5:5" x14ac:dyDescent="0.2">
      <c r="E199" s="1"/>
    </row>
    <row r="200" spans="5:5" x14ac:dyDescent="0.2">
      <c r="E200" s="1"/>
    </row>
    <row r="201" spans="5:5" x14ac:dyDescent="0.2">
      <c r="E201" s="1"/>
    </row>
    <row r="202" spans="5:5" x14ac:dyDescent="0.2">
      <c r="E202" s="1"/>
    </row>
    <row r="203" spans="5:5" x14ac:dyDescent="0.2">
      <c r="E203" s="1"/>
    </row>
    <row r="204" spans="5:5" x14ac:dyDescent="0.2">
      <c r="E204" s="1"/>
    </row>
    <row r="205" spans="5:5" x14ac:dyDescent="0.2">
      <c r="E205" s="1"/>
    </row>
    <row r="206" spans="5:5" x14ac:dyDescent="0.2">
      <c r="E206" s="1"/>
    </row>
    <row r="207" spans="5:5" x14ac:dyDescent="0.2">
      <c r="E207" s="1"/>
    </row>
    <row r="208" spans="5:5" x14ac:dyDescent="0.2">
      <c r="E208" s="1"/>
    </row>
    <row r="209" spans="5:5" x14ac:dyDescent="0.2">
      <c r="E209" s="1"/>
    </row>
    <row r="210" spans="5:5" x14ac:dyDescent="0.2">
      <c r="E210" s="1"/>
    </row>
    <row r="211" spans="5:5" x14ac:dyDescent="0.2">
      <c r="E211" s="1"/>
    </row>
    <row r="212" spans="5:5" x14ac:dyDescent="0.2">
      <c r="E212" s="1"/>
    </row>
    <row r="213" spans="5:5" x14ac:dyDescent="0.2">
      <c r="E213" s="1"/>
    </row>
    <row r="214" spans="5:5" x14ac:dyDescent="0.2">
      <c r="E214" s="1"/>
    </row>
    <row r="215" spans="5:5" x14ac:dyDescent="0.2">
      <c r="E215" s="1"/>
    </row>
    <row r="216" spans="5:5" x14ac:dyDescent="0.2">
      <c r="E216" s="1"/>
    </row>
    <row r="217" spans="5:5" x14ac:dyDescent="0.2">
      <c r="E217" s="1"/>
    </row>
    <row r="218" spans="5:5" x14ac:dyDescent="0.2">
      <c r="E218" s="1"/>
    </row>
    <row r="219" spans="5:5" x14ac:dyDescent="0.2">
      <c r="E219" s="1"/>
    </row>
    <row r="220" spans="5:5" x14ac:dyDescent="0.2">
      <c r="E220" s="1"/>
    </row>
    <row r="221" spans="5:5" x14ac:dyDescent="0.2">
      <c r="E221" s="1"/>
    </row>
    <row r="222" spans="5:5" x14ac:dyDescent="0.2">
      <c r="E222" s="1"/>
    </row>
    <row r="223" spans="5:5" x14ac:dyDescent="0.2">
      <c r="E223" s="1"/>
    </row>
    <row r="224" spans="5:5" x14ac:dyDescent="0.2">
      <c r="E224" s="1"/>
    </row>
    <row r="225" spans="5:5" x14ac:dyDescent="0.2">
      <c r="E225" s="1"/>
    </row>
    <row r="226" spans="5:5" x14ac:dyDescent="0.2">
      <c r="E226" s="1"/>
    </row>
    <row r="227" spans="5:5" x14ac:dyDescent="0.2">
      <c r="E227" s="1"/>
    </row>
    <row r="228" spans="5:5" x14ac:dyDescent="0.2">
      <c r="E228" s="1"/>
    </row>
    <row r="229" spans="5:5" x14ac:dyDescent="0.2">
      <c r="E229" s="1"/>
    </row>
    <row r="230" spans="5:5" x14ac:dyDescent="0.2">
      <c r="E230" s="1"/>
    </row>
    <row r="231" spans="5:5" x14ac:dyDescent="0.2">
      <c r="E231" s="1"/>
    </row>
    <row r="232" spans="5:5" x14ac:dyDescent="0.2">
      <c r="E232" s="1"/>
    </row>
    <row r="233" spans="5:5" x14ac:dyDescent="0.2">
      <c r="E233" s="1"/>
    </row>
    <row r="234" spans="5:5" x14ac:dyDescent="0.2">
      <c r="E234" s="1"/>
    </row>
    <row r="235" spans="5:5" x14ac:dyDescent="0.2">
      <c r="E235" s="1"/>
    </row>
    <row r="236" spans="5:5" x14ac:dyDescent="0.2">
      <c r="E236" s="1"/>
    </row>
    <row r="237" spans="5:5" x14ac:dyDescent="0.2">
      <c r="E237" s="1"/>
    </row>
    <row r="238" spans="5:5" x14ac:dyDescent="0.2">
      <c r="E238" s="1"/>
    </row>
    <row r="239" spans="5:5" x14ac:dyDescent="0.2">
      <c r="E239" s="1"/>
    </row>
    <row r="240" spans="5:5" x14ac:dyDescent="0.2">
      <c r="E240" s="1"/>
    </row>
    <row r="241" spans="5:5" x14ac:dyDescent="0.2">
      <c r="E241" s="1"/>
    </row>
    <row r="242" spans="5:5" x14ac:dyDescent="0.2">
      <c r="E242" s="1"/>
    </row>
    <row r="243" spans="5:5" x14ac:dyDescent="0.2">
      <c r="E243" s="1"/>
    </row>
    <row r="244" spans="5:5" x14ac:dyDescent="0.2">
      <c r="E244" s="1"/>
    </row>
    <row r="245" spans="5:5" x14ac:dyDescent="0.2">
      <c r="E245" s="1"/>
    </row>
    <row r="246" spans="5:5" x14ac:dyDescent="0.2">
      <c r="E246" s="1"/>
    </row>
    <row r="247" spans="5:5" x14ac:dyDescent="0.2">
      <c r="E247" s="1"/>
    </row>
    <row r="248" spans="5:5" x14ac:dyDescent="0.2">
      <c r="E248" s="1"/>
    </row>
    <row r="249" spans="5:5" x14ac:dyDescent="0.2">
      <c r="E249" s="1"/>
    </row>
    <row r="250" spans="5:5" x14ac:dyDescent="0.2">
      <c r="E250" s="1"/>
    </row>
    <row r="251" spans="5:5" x14ac:dyDescent="0.2">
      <c r="E251" s="1"/>
    </row>
    <row r="252" spans="5:5" x14ac:dyDescent="0.2">
      <c r="E252" s="1"/>
    </row>
    <row r="253" spans="5:5" x14ac:dyDescent="0.2">
      <c r="E253" s="1"/>
    </row>
    <row r="254" spans="5:5" x14ac:dyDescent="0.2">
      <c r="E254" s="1"/>
    </row>
    <row r="255" spans="5:5" x14ac:dyDescent="0.2">
      <c r="E255" s="1"/>
    </row>
    <row r="256" spans="5:5" x14ac:dyDescent="0.2">
      <c r="E256" s="1"/>
    </row>
    <row r="257" spans="5:5" x14ac:dyDescent="0.2">
      <c r="E257" s="1"/>
    </row>
    <row r="258" spans="5:5" x14ac:dyDescent="0.2">
      <c r="E258" s="1"/>
    </row>
    <row r="259" spans="5:5" x14ac:dyDescent="0.2">
      <c r="E259" s="1"/>
    </row>
    <row r="260" spans="5:5" x14ac:dyDescent="0.2">
      <c r="E260" s="1"/>
    </row>
    <row r="261" spans="5:5" x14ac:dyDescent="0.2">
      <c r="E261" s="1"/>
    </row>
    <row r="262" spans="5:5" x14ac:dyDescent="0.2">
      <c r="E262" s="1"/>
    </row>
    <row r="263" spans="5:5" x14ac:dyDescent="0.2">
      <c r="E263" s="1"/>
    </row>
    <row r="264" spans="5:5" x14ac:dyDescent="0.2">
      <c r="E264" s="1"/>
    </row>
    <row r="265" spans="5:5" x14ac:dyDescent="0.2">
      <c r="E265" s="1"/>
    </row>
    <row r="266" spans="5:5" x14ac:dyDescent="0.2">
      <c r="E266" s="1"/>
    </row>
    <row r="267" spans="5:5" x14ac:dyDescent="0.2">
      <c r="E267" s="1"/>
    </row>
    <row r="268" spans="5:5" x14ac:dyDescent="0.2">
      <c r="E268" s="1"/>
    </row>
    <row r="269" spans="5:5" x14ac:dyDescent="0.2">
      <c r="E269" s="1"/>
    </row>
    <row r="270" spans="5:5" x14ac:dyDescent="0.2">
      <c r="E270" s="1"/>
    </row>
    <row r="271" spans="5:5" x14ac:dyDescent="0.2">
      <c r="E271" s="1"/>
    </row>
    <row r="272" spans="5:5" x14ac:dyDescent="0.2">
      <c r="E272" s="1"/>
    </row>
    <row r="273" spans="5:5" x14ac:dyDescent="0.2">
      <c r="E273" s="1"/>
    </row>
    <row r="274" spans="5:5" x14ac:dyDescent="0.2">
      <c r="E274" s="1"/>
    </row>
    <row r="275" spans="5:5" x14ac:dyDescent="0.2">
      <c r="E275" s="1"/>
    </row>
    <row r="276" spans="5:5" x14ac:dyDescent="0.2">
      <c r="E276" s="1"/>
    </row>
    <row r="277" spans="5:5" x14ac:dyDescent="0.2">
      <c r="E277" s="1"/>
    </row>
    <row r="278" spans="5:5" x14ac:dyDescent="0.2">
      <c r="E278" s="1"/>
    </row>
    <row r="279" spans="5:5" x14ac:dyDescent="0.2">
      <c r="E279" s="1"/>
    </row>
    <row r="280" spans="5:5" x14ac:dyDescent="0.2">
      <c r="E280" s="1"/>
    </row>
    <row r="281" spans="5:5" x14ac:dyDescent="0.2">
      <c r="E281" s="1"/>
    </row>
    <row r="282" spans="5:5" x14ac:dyDescent="0.2">
      <c r="E282" s="1"/>
    </row>
    <row r="283" spans="5:5" x14ac:dyDescent="0.2">
      <c r="E283" s="1"/>
    </row>
    <row r="284" spans="5:5" x14ac:dyDescent="0.2">
      <c r="E284" s="1"/>
    </row>
    <row r="285" spans="5:5" x14ac:dyDescent="0.2">
      <c r="E285" s="1"/>
    </row>
    <row r="286" spans="5:5" x14ac:dyDescent="0.2">
      <c r="E286" s="1"/>
    </row>
    <row r="287" spans="5:5" x14ac:dyDescent="0.2">
      <c r="E287" s="1"/>
    </row>
    <row r="288" spans="5:5" x14ac:dyDescent="0.2">
      <c r="E288" s="1"/>
    </row>
    <row r="289" spans="5:5" x14ac:dyDescent="0.2">
      <c r="E289" s="1"/>
    </row>
    <row r="290" spans="5:5" x14ac:dyDescent="0.2">
      <c r="E290" s="1"/>
    </row>
    <row r="291" spans="5:5" x14ac:dyDescent="0.2">
      <c r="E291" s="1"/>
    </row>
    <row r="292" spans="5:5" x14ac:dyDescent="0.2">
      <c r="E292" s="1"/>
    </row>
    <row r="293" spans="5:5" x14ac:dyDescent="0.2">
      <c r="E293" s="1"/>
    </row>
    <row r="294" spans="5:5" x14ac:dyDescent="0.2">
      <c r="E294" s="1"/>
    </row>
    <row r="295" spans="5:5" x14ac:dyDescent="0.2">
      <c r="E295" s="1"/>
    </row>
    <row r="296" spans="5:5" x14ac:dyDescent="0.2">
      <c r="E296" s="1"/>
    </row>
    <row r="297" spans="5:5" x14ac:dyDescent="0.2">
      <c r="E297" s="1"/>
    </row>
    <row r="298" spans="5:5" x14ac:dyDescent="0.2">
      <c r="E298" s="1"/>
    </row>
    <row r="299" spans="5:5" x14ac:dyDescent="0.2">
      <c r="E299" s="1"/>
    </row>
    <row r="300" spans="5:5" x14ac:dyDescent="0.2">
      <c r="E300" s="1"/>
    </row>
    <row r="301" spans="5:5" x14ac:dyDescent="0.2">
      <c r="E301" s="1"/>
    </row>
    <row r="302" spans="5:5" x14ac:dyDescent="0.2">
      <c r="E302" s="1"/>
    </row>
    <row r="303" spans="5:5" x14ac:dyDescent="0.2">
      <c r="E303" s="1"/>
    </row>
    <row r="304" spans="5:5" x14ac:dyDescent="0.2">
      <c r="E304" s="1"/>
    </row>
    <row r="305" spans="5:5" x14ac:dyDescent="0.2">
      <c r="E305" s="1"/>
    </row>
    <row r="306" spans="5:5" x14ac:dyDescent="0.2">
      <c r="E306" s="1"/>
    </row>
    <row r="307" spans="5:5" x14ac:dyDescent="0.2">
      <c r="E307" s="1"/>
    </row>
    <row r="308" spans="5:5" x14ac:dyDescent="0.2">
      <c r="E308" s="1"/>
    </row>
    <row r="309" spans="5:5" x14ac:dyDescent="0.2">
      <c r="E309" s="1"/>
    </row>
    <row r="310" spans="5:5" x14ac:dyDescent="0.2">
      <c r="E310" s="1"/>
    </row>
    <row r="311" spans="5:5" x14ac:dyDescent="0.2">
      <c r="E311" s="1"/>
    </row>
    <row r="312" spans="5:5" x14ac:dyDescent="0.2">
      <c r="E312" s="1"/>
    </row>
    <row r="313" spans="5:5" x14ac:dyDescent="0.2">
      <c r="E313" s="1"/>
    </row>
    <row r="314" spans="5:5" x14ac:dyDescent="0.2">
      <c r="E314" s="1"/>
    </row>
    <row r="315" spans="5:5" x14ac:dyDescent="0.2">
      <c r="E315" s="1"/>
    </row>
    <row r="316" spans="5:5" x14ac:dyDescent="0.2">
      <c r="E316" s="1"/>
    </row>
    <row r="317" spans="5:5" x14ac:dyDescent="0.2">
      <c r="E317" s="1"/>
    </row>
    <row r="318" spans="5:5" x14ac:dyDescent="0.2">
      <c r="E318" s="1"/>
    </row>
    <row r="319" spans="5:5" x14ac:dyDescent="0.2">
      <c r="E319" s="1"/>
    </row>
    <row r="320" spans="5:5" x14ac:dyDescent="0.2">
      <c r="E320" s="1"/>
    </row>
    <row r="321" spans="5:5" x14ac:dyDescent="0.2">
      <c r="E321" s="1"/>
    </row>
    <row r="322" spans="5:5" x14ac:dyDescent="0.2">
      <c r="E322" s="1"/>
    </row>
    <row r="323" spans="5:5" x14ac:dyDescent="0.2">
      <c r="E323" s="1"/>
    </row>
    <row r="324" spans="5:5" x14ac:dyDescent="0.2">
      <c r="E324" s="1"/>
    </row>
    <row r="325" spans="5:5" x14ac:dyDescent="0.2">
      <c r="E325" s="1"/>
    </row>
    <row r="326" spans="5:5" x14ac:dyDescent="0.2">
      <c r="E326" s="1"/>
    </row>
    <row r="327" spans="5:5" x14ac:dyDescent="0.2">
      <c r="E327" s="1"/>
    </row>
    <row r="328" spans="5:5" x14ac:dyDescent="0.2">
      <c r="E328" s="1"/>
    </row>
    <row r="329" spans="5:5" x14ac:dyDescent="0.2">
      <c r="E329" s="1"/>
    </row>
    <row r="330" spans="5:5" x14ac:dyDescent="0.2">
      <c r="E330" s="1"/>
    </row>
    <row r="331" spans="5:5" x14ac:dyDescent="0.2">
      <c r="E331" s="1"/>
    </row>
    <row r="332" spans="5:5" x14ac:dyDescent="0.2">
      <c r="E332" s="1"/>
    </row>
    <row r="333" spans="5:5" x14ac:dyDescent="0.2">
      <c r="E333" s="1"/>
    </row>
    <row r="334" spans="5:5" x14ac:dyDescent="0.2">
      <c r="E334" s="1"/>
    </row>
    <row r="335" spans="5:5" x14ac:dyDescent="0.2">
      <c r="E335" s="1"/>
    </row>
    <row r="336" spans="5:5" x14ac:dyDescent="0.2">
      <c r="E336" s="1"/>
    </row>
    <row r="337" spans="5:5" x14ac:dyDescent="0.2">
      <c r="E337" s="1"/>
    </row>
    <row r="338" spans="5:5" x14ac:dyDescent="0.2">
      <c r="E338" s="1"/>
    </row>
    <row r="339" spans="5:5" x14ac:dyDescent="0.2">
      <c r="E339" s="1"/>
    </row>
    <row r="340" spans="5:5" x14ac:dyDescent="0.2">
      <c r="E340" s="1"/>
    </row>
    <row r="341" spans="5:5" x14ac:dyDescent="0.2">
      <c r="E341" s="1"/>
    </row>
    <row r="342" spans="5:5" x14ac:dyDescent="0.2">
      <c r="E342" s="1"/>
    </row>
    <row r="343" spans="5:5" x14ac:dyDescent="0.2">
      <c r="E343" s="1"/>
    </row>
    <row r="344" spans="5:5" x14ac:dyDescent="0.2">
      <c r="E344" s="1"/>
    </row>
    <row r="345" spans="5:5" x14ac:dyDescent="0.2">
      <c r="E345" s="1"/>
    </row>
    <row r="346" spans="5:5" x14ac:dyDescent="0.2">
      <c r="E346" s="1"/>
    </row>
    <row r="347" spans="5:5" x14ac:dyDescent="0.2">
      <c r="E347" s="1"/>
    </row>
    <row r="348" spans="5:5" x14ac:dyDescent="0.2">
      <c r="E348" s="1"/>
    </row>
    <row r="349" spans="5:5" x14ac:dyDescent="0.2">
      <c r="E349" s="1"/>
    </row>
    <row r="350" spans="5:5" x14ac:dyDescent="0.2">
      <c r="E350" s="1"/>
    </row>
    <row r="351" spans="5:5" x14ac:dyDescent="0.2">
      <c r="E351" s="1"/>
    </row>
    <row r="352" spans="5:5" x14ac:dyDescent="0.2">
      <c r="E352" s="1"/>
    </row>
    <row r="353" spans="5:5" x14ac:dyDescent="0.2">
      <c r="E353" s="1"/>
    </row>
    <row r="354" spans="5:5" x14ac:dyDescent="0.2">
      <c r="E354" s="1"/>
    </row>
    <row r="355" spans="5:5" x14ac:dyDescent="0.2">
      <c r="E355" s="1"/>
    </row>
    <row r="356" spans="5:5" x14ac:dyDescent="0.2">
      <c r="E356" s="1"/>
    </row>
    <row r="357" spans="5:5" x14ac:dyDescent="0.2">
      <c r="E357" s="1"/>
    </row>
    <row r="358" spans="5:5" x14ac:dyDescent="0.2">
      <c r="E358" s="1"/>
    </row>
    <row r="359" spans="5:5" x14ac:dyDescent="0.2">
      <c r="E359" s="1"/>
    </row>
    <row r="360" spans="5:5" x14ac:dyDescent="0.2">
      <c r="E360" s="1"/>
    </row>
    <row r="361" spans="5:5" x14ac:dyDescent="0.2">
      <c r="E361" s="1"/>
    </row>
    <row r="362" spans="5:5" x14ac:dyDescent="0.2">
      <c r="E362" s="1"/>
    </row>
    <row r="363" spans="5:5" x14ac:dyDescent="0.2">
      <c r="E363" s="1"/>
    </row>
    <row r="364" spans="5:5" x14ac:dyDescent="0.2">
      <c r="E364" s="1"/>
    </row>
    <row r="365" spans="5:5" x14ac:dyDescent="0.2">
      <c r="E365" s="1"/>
    </row>
    <row r="366" spans="5:5" x14ac:dyDescent="0.2">
      <c r="E366" s="1"/>
    </row>
    <row r="367" spans="5:5" x14ac:dyDescent="0.2">
      <c r="E367" s="1"/>
    </row>
    <row r="368" spans="5:5" x14ac:dyDescent="0.2">
      <c r="E368" s="1"/>
    </row>
    <row r="369" spans="5:5" x14ac:dyDescent="0.2">
      <c r="E369" s="1"/>
    </row>
    <row r="370" spans="5:5" x14ac:dyDescent="0.2">
      <c r="E370" s="1"/>
    </row>
    <row r="371" spans="5:5" x14ac:dyDescent="0.2">
      <c r="E371" s="1"/>
    </row>
    <row r="372" spans="5:5" x14ac:dyDescent="0.2">
      <c r="E372" s="1"/>
    </row>
    <row r="373" spans="5:5" x14ac:dyDescent="0.2">
      <c r="E373" s="1"/>
    </row>
    <row r="374" spans="5:5" x14ac:dyDescent="0.2">
      <c r="E374" s="1"/>
    </row>
    <row r="375" spans="5:5" x14ac:dyDescent="0.2">
      <c r="E375" s="1"/>
    </row>
    <row r="376" spans="5:5" x14ac:dyDescent="0.2">
      <c r="E376" s="1"/>
    </row>
    <row r="377" spans="5:5" x14ac:dyDescent="0.2">
      <c r="E377" s="1"/>
    </row>
    <row r="378" spans="5:5" x14ac:dyDescent="0.2">
      <c r="E378" s="1"/>
    </row>
    <row r="379" spans="5:5" x14ac:dyDescent="0.2">
      <c r="E379" s="1"/>
    </row>
    <row r="380" spans="5:5" x14ac:dyDescent="0.2">
      <c r="E380" s="1"/>
    </row>
    <row r="381" spans="5:5" x14ac:dyDescent="0.2">
      <c r="E381" s="1"/>
    </row>
    <row r="382" spans="5:5" x14ac:dyDescent="0.2">
      <c r="E382" s="1"/>
    </row>
    <row r="383" spans="5:5" x14ac:dyDescent="0.2">
      <c r="E383" s="1"/>
    </row>
    <row r="384" spans="5:5" x14ac:dyDescent="0.2">
      <c r="E384" s="1"/>
    </row>
    <row r="385" spans="5:5" x14ac:dyDescent="0.2">
      <c r="E385" s="1"/>
    </row>
    <row r="386" spans="5:5" x14ac:dyDescent="0.2">
      <c r="E386" s="1"/>
    </row>
    <row r="387" spans="5:5" x14ac:dyDescent="0.2">
      <c r="E387" s="1"/>
    </row>
    <row r="388" spans="5:5" x14ac:dyDescent="0.2">
      <c r="E388" s="1"/>
    </row>
    <row r="389" spans="5:5" x14ac:dyDescent="0.2">
      <c r="E389" s="1"/>
    </row>
    <row r="390" spans="5:5" x14ac:dyDescent="0.2">
      <c r="E390" s="1"/>
    </row>
    <row r="391" spans="5:5" x14ac:dyDescent="0.2">
      <c r="E391" s="1"/>
    </row>
    <row r="392" spans="5:5" x14ac:dyDescent="0.2">
      <c r="E392" s="1"/>
    </row>
    <row r="393" spans="5:5" x14ac:dyDescent="0.2">
      <c r="E393" s="1"/>
    </row>
    <row r="394" spans="5:5" x14ac:dyDescent="0.2">
      <c r="E394" s="1"/>
    </row>
    <row r="395" spans="5:5" x14ac:dyDescent="0.2">
      <c r="E395" s="1"/>
    </row>
    <row r="396" spans="5:5" x14ac:dyDescent="0.2">
      <c r="E396" s="1"/>
    </row>
    <row r="397" spans="5:5" x14ac:dyDescent="0.2">
      <c r="E397" s="1"/>
    </row>
    <row r="398" spans="5:5" x14ac:dyDescent="0.2">
      <c r="E398" s="1"/>
    </row>
    <row r="399" spans="5:5" x14ac:dyDescent="0.2">
      <c r="E399" s="1"/>
    </row>
    <row r="400" spans="5:5" x14ac:dyDescent="0.2">
      <c r="E400" s="1"/>
    </row>
    <row r="401" spans="5:5" x14ac:dyDescent="0.2">
      <c r="E401" s="1"/>
    </row>
    <row r="402" spans="5:5" x14ac:dyDescent="0.2">
      <c r="E402" s="1"/>
    </row>
    <row r="403" spans="5:5" x14ac:dyDescent="0.2">
      <c r="E403" s="1"/>
    </row>
    <row r="404" spans="5:5" x14ac:dyDescent="0.2">
      <c r="E404" s="1"/>
    </row>
    <row r="405" spans="5:5" x14ac:dyDescent="0.2">
      <c r="E405" s="1"/>
    </row>
    <row r="406" spans="5:5" x14ac:dyDescent="0.2">
      <c r="E406" s="1"/>
    </row>
    <row r="407" spans="5:5" x14ac:dyDescent="0.2">
      <c r="E407" s="1"/>
    </row>
    <row r="408" spans="5:5" x14ac:dyDescent="0.2">
      <c r="E408" s="1"/>
    </row>
    <row r="409" spans="5:5" x14ac:dyDescent="0.2">
      <c r="E409" s="1"/>
    </row>
    <row r="410" spans="5:5" x14ac:dyDescent="0.2">
      <c r="E410" s="1"/>
    </row>
    <row r="411" spans="5:5" x14ac:dyDescent="0.2">
      <c r="E411" s="1"/>
    </row>
    <row r="412" spans="5:5" x14ac:dyDescent="0.2">
      <c r="E412" s="1"/>
    </row>
    <row r="413" spans="5:5" x14ac:dyDescent="0.2">
      <c r="E413" s="1"/>
    </row>
    <row r="414" spans="5:5" x14ac:dyDescent="0.2">
      <c r="E414" s="1"/>
    </row>
    <row r="415" spans="5:5" x14ac:dyDescent="0.2">
      <c r="E415" s="1"/>
    </row>
    <row r="416" spans="5:5" x14ac:dyDescent="0.2">
      <c r="E416" s="1"/>
    </row>
    <row r="417" spans="5:5" x14ac:dyDescent="0.2">
      <c r="E417" s="1"/>
    </row>
    <row r="418" spans="5:5" x14ac:dyDescent="0.2">
      <c r="E418" s="1"/>
    </row>
    <row r="419" spans="5:5" x14ac:dyDescent="0.2">
      <c r="E419" s="1"/>
    </row>
    <row r="420" spans="5:5" x14ac:dyDescent="0.2">
      <c r="E420" s="1"/>
    </row>
    <row r="421" spans="5:5" x14ac:dyDescent="0.2">
      <c r="E421" s="1"/>
    </row>
    <row r="422" spans="5:5" x14ac:dyDescent="0.2">
      <c r="E422" s="1"/>
    </row>
    <row r="423" spans="5:5" x14ac:dyDescent="0.2">
      <c r="E423" s="1"/>
    </row>
    <row r="424" spans="5:5" x14ac:dyDescent="0.2">
      <c r="E424" s="1"/>
    </row>
    <row r="425" spans="5:5" x14ac:dyDescent="0.2">
      <c r="E425" s="1"/>
    </row>
    <row r="426" spans="5:5" x14ac:dyDescent="0.2">
      <c r="E426" s="1"/>
    </row>
    <row r="427" spans="5:5" x14ac:dyDescent="0.2">
      <c r="E427" s="1"/>
    </row>
    <row r="428" spans="5:5" x14ac:dyDescent="0.2">
      <c r="E428" s="1"/>
    </row>
    <row r="429" spans="5:5" x14ac:dyDescent="0.2">
      <c r="E429" s="1"/>
    </row>
    <row r="430" spans="5:5" x14ac:dyDescent="0.2">
      <c r="E430" s="1"/>
    </row>
    <row r="431" spans="5:5" x14ac:dyDescent="0.2">
      <c r="E431" s="1"/>
    </row>
    <row r="432" spans="5:5" x14ac:dyDescent="0.2">
      <c r="E432" s="1"/>
    </row>
    <row r="433" spans="5:5" x14ac:dyDescent="0.2">
      <c r="E433" s="1"/>
    </row>
    <row r="434" spans="5:5" x14ac:dyDescent="0.2">
      <c r="E434" s="1"/>
    </row>
    <row r="435" spans="5:5" x14ac:dyDescent="0.2">
      <c r="E435" s="1"/>
    </row>
    <row r="436" spans="5:5" x14ac:dyDescent="0.2">
      <c r="E436" s="1"/>
    </row>
    <row r="437" spans="5:5" x14ac:dyDescent="0.2">
      <c r="E437" s="1"/>
    </row>
    <row r="438" spans="5:5" x14ac:dyDescent="0.2">
      <c r="E438" s="1"/>
    </row>
    <row r="439" spans="5:5" x14ac:dyDescent="0.2">
      <c r="E439" s="1"/>
    </row>
    <row r="440" spans="5:5" x14ac:dyDescent="0.2">
      <c r="E440" s="1"/>
    </row>
    <row r="441" spans="5:5" x14ac:dyDescent="0.2">
      <c r="E441" s="1"/>
    </row>
    <row r="442" spans="5:5" x14ac:dyDescent="0.2">
      <c r="E442" s="1"/>
    </row>
    <row r="443" spans="5:5" x14ac:dyDescent="0.2">
      <c r="E443" s="1"/>
    </row>
    <row r="444" spans="5:5" x14ac:dyDescent="0.2">
      <c r="E444" s="1"/>
    </row>
    <row r="445" spans="5:5" x14ac:dyDescent="0.2">
      <c r="E445" s="1"/>
    </row>
    <row r="446" spans="5:5" x14ac:dyDescent="0.2">
      <c r="E446" s="1"/>
    </row>
    <row r="447" spans="5:5" x14ac:dyDescent="0.2">
      <c r="E447" s="1"/>
    </row>
    <row r="448" spans="5:5" x14ac:dyDescent="0.2">
      <c r="E448" s="1"/>
    </row>
    <row r="449" spans="5:5" x14ac:dyDescent="0.2">
      <c r="E449" s="1"/>
    </row>
    <row r="450" spans="5:5" x14ac:dyDescent="0.2">
      <c r="E450" s="1"/>
    </row>
    <row r="451" spans="5:5" x14ac:dyDescent="0.2">
      <c r="E451" s="1"/>
    </row>
    <row r="452" spans="5:5" x14ac:dyDescent="0.2">
      <c r="E452" s="1"/>
    </row>
    <row r="453" spans="5:5" x14ac:dyDescent="0.2">
      <c r="E453" s="1"/>
    </row>
    <row r="454" spans="5:5" x14ac:dyDescent="0.2">
      <c r="E454" s="1"/>
    </row>
    <row r="455" spans="5:5" x14ac:dyDescent="0.2">
      <c r="E455" s="1"/>
    </row>
    <row r="456" spans="5:5" x14ac:dyDescent="0.2">
      <c r="E456" s="1"/>
    </row>
    <row r="457" spans="5:5" x14ac:dyDescent="0.2">
      <c r="E457" s="1"/>
    </row>
    <row r="458" spans="5:5" x14ac:dyDescent="0.2">
      <c r="E458" s="1"/>
    </row>
    <row r="459" spans="5:5" x14ac:dyDescent="0.2">
      <c r="E459" s="1"/>
    </row>
    <row r="460" spans="5:5" x14ac:dyDescent="0.2">
      <c r="E460" s="1"/>
    </row>
    <row r="461" spans="5:5" x14ac:dyDescent="0.2">
      <c r="E461" s="1"/>
    </row>
    <row r="462" spans="5:5" x14ac:dyDescent="0.2">
      <c r="E462" s="1"/>
    </row>
    <row r="463" spans="5:5" x14ac:dyDescent="0.2">
      <c r="E463" s="1"/>
    </row>
    <row r="464" spans="5:5" x14ac:dyDescent="0.2">
      <c r="E464" s="1"/>
    </row>
    <row r="465" spans="5:5" x14ac:dyDescent="0.2">
      <c r="E465" s="1"/>
    </row>
    <row r="466" spans="5:5" x14ac:dyDescent="0.2">
      <c r="E466" s="1"/>
    </row>
    <row r="467" spans="5:5" x14ac:dyDescent="0.2">
      <c r="E467" s="1"/>
    </row>
    <row r="468" spans="5:5" x14ac:dyDescent="0.2">
      <c r="E468" s="1"/>
    </row>
    <row r="469" spans="5:5" x14ac:dyDescent="0.2">
      <c r="E469" s="1"/>
    </row>
    <row r="470" spans="5:5" x14ac:dyDescent="0.2">
      <c r="E470" s="1"/>
    </row>
    <row r="471" spans="5:5" x14ac:dyDescent="0.2">
      <c r="E471" s="1"/>
    </row>
    <row r="472" spans="5:5" x14ac:dyDescent="0.2">
      <c r="E472" s="1"/>
    </row>
    <row r="473" spans="5:5" x14ac:dyDescent="0.2">
      <c r="E473" s="1"/>
    </row>
    <row r="474" spans="5:5" x14ac:dyDescent="0.2">
      <c r="E474" s="1"/>
    </row>
    <row r="475" spans="5:5" x14ac:dyDescent="0.2">
      <c r="E475" s="1"/>
    </row>
    <row r="476" spans="5:5" x14ac:dyDescent="0.2">
      <c r="E476" s="1"/>
    </row>
    <row r="477" spans="5:5" x14ac:dyDescent="0.2">
      <c r="E477" s="1"/>
    </row>
    <row r="478" spans="5:5" x14ac:dyDescent="0.2">
      <c r="E478" s="1"/>
    </row>
    <row r="479" spans="5:5" x14ac:dyDescent="0.2">
      <c r="E479" s="1"/>
    </row>
    <row r="480" spans="5:5" x14ac:dyDescent="0.2">
      <c r="E480" s="1"/>
    </row>
    <row r="481" spans="5:5" x14ac:dyDescent="0.2">
      <c r="E481" s="1"/>
    </row>
    <row r="482" spans="5:5" x14ac:dyDescent="0.2">
      <c r="E482" s="1"/>
    </row>
    <row r="483" spans="5:5" x14ac:dyDescent="0.2">
      <c r="E483" s="1"/>
    </row>
    <row r="484" spans="5:5" x14ac:dyDescent="0.2">
      <c r="E484" s="1"/>
    </row>
    <row r="485" spans="5:5" x14ac:dyDescent="0.2">
      <c r="E485" s="1"/>
    </row>
    <row r="486" spans="5:5" x14ac:dyDescent="0.2">
      <c r="E486" s="1"/>
    </row>
    <row r="487" spans="5:5" x14ac:dyDescent="0.2">
      <c r="E487" s="1"/>
    </row>
    <row r="488" spans="5:5" x14ac:dyDescent="0.2">
      <c r="E488" s="1"/>
    </row>
    <row r="489" spans="5:5" x14ac:dyDescent="0.2">
      <c r="E489" s="1"/>
    </row>
    <row r="490" spans="5:5" x14ac:dyDescent="0.2">
      <c r="E490" s="1"/>
    </row>
    <row r="491" spans="5:5" x14ac:dyDescent="0.2">
      <c r="E491" s="1"/>
    </row>
    <row r="492" spans="5:5" x14ac:dyDescent="0.2">
      <c r="E492" s="1"/>
    </row>
    <row r="493" spans="5:5" x14ac:dyDescent="0.2">
      <c r="E493" s="1"/>
    </row>
    <row r="494" spans="5:5" x14ac:dyDescent="0.2">
      <c r="E494" s="1"/>
    </row>
    <row r="495" spans="5:5" x14ac:dyDescent="0.2">
      <c r="E495" s="1"/>
    </row>
    <row r="496" spans="5:5" x14ac:dyDescent="0.2">
      <c r="E496" s="1"/>
    </row>
    <row r="497" spans="5:5" x14ac:dyDescent="0.2">
      <c r="E497" s="1"/>
    </row>
    <row r="498" spans="5:5" x14ac:dyDescent="0.2">
      <c r="E498" s="1"/>
    </row>
    <row r="499" spans="5:5" x14ac:dyDescent="0.2">
      <c r="E499" s="1"/>
    </row>
    <row r="500" spans="5:5" x14ac:dyDescent="0.2">
      <c r="E500" s="1"/>
    </row>
    <row r="501" spans="5:5" x14ac:dyDescent="0.2">
      <c r="E501" s="1"/>
    </row>
    <row r="502" spans="5:5" x14ac:dyDescent="0.2">
      <c r="E502" s="1"/>
    </row>
    <row r="503" spans="5:5" x14ac:dyDescent="0.2">
      <c r="E503" s="1"/>
    </row>
    <row r="504" spans="5:5" x14ac:dyDescent="0.2">
      <c r="E504" s="1"/>
    </row>
    <row r="505" spans="5:5" x14ac:dyDescent="0.2">
      <c r="E505" s="1"/>
    </row>
    <row r="506" spans="5:5" x14ac:dyDescent="0.2">
      <c r="E506" s="1"/>
    </row>
    <row r="507" spans="5:5" x14ac:dyDescent="0.2">
      <c r="E507" s="1"/>
    </row>
    <row r="508" spans="5:5" x14ac:dyDescent="0.2">
      <c r="E508" s="1"/>
    </row>
    <row r="509" spans="5:5" x14ac:dyDescent="0.2">
      <c r="E509" s="1"/>
    </row>
    <row r="510" spans="5:5" x14ac:dyDescent="0.2">
      <c r="E510" s="1"/>
    </row>
    <row r="511" spans="5:5" x14ac:dyDescent="0.2">
      <c r="E511" s="1"/>
    </row>
    <row r="512" spans="5:5" x14ac:dyDescent="0.2">
      <c r="E512" s="1"/>
    </row>
    <row r="513" spans="5:5" x14ac:dyDescent="0.2">
      <c r="E513" s="1"/>
    </row>
    <row r="514" spans="5:5" x14ac:dyDescent="0.2">
      <c r="E514" s="1"/>
    </row>
    <row r="515" spans="5:5" x14ac:dyDescent="0.2">
      <c r="E515" s="1"/>
    </row>
    <row r="516" spans="5:5" x14ac:dyDescent="0.2">
      <c r="E516" s="1"/>
    </row>
    <row r="517" spans="5:5" x14ac:dyDescent="0.2">
      <c r="E517" s="1"/>
    </row>
    <row r="518" spans="5:5" x14ac:dyDescent="0.2">
      <c r="E518" s="1"/>
    </row>
    <row r="519" spans="5:5" x14ac:dyDescent="0.2">
      <c r="E519" s="1"/>
    </row>
    <row r="520" spans="5:5" x14ac:dyDescent="0.2">
      <c r="E520" s="1"/>
    </row>
    <row r="521" spans="5:5" x14ac:dyDescent="0.2">
      <c r="E521" s="1"/>
    </row>
    <row r="522" spans="5:5" x14ac:dyDescent="0.2">
      <c r="E522" s="1"/>
    </row>
    <row r="523" spans="5:5" x14ac:dyDescent="0.2">
      <c r="E523" s="1"/>
    </row>
    <row r="524" spans="5:5" x14ac:dyDescent="0.2">
      <c r="E524" s="1"/>
    </row>
    <row r="525" spans="5:5" x14ac:dyDescent="0.2">
      <c r="E525" s="1"/>
    </row>
    <row r="526" spans="5:5" x14ac:dyDescent="0.2">
      <c r="E526" s="1"/>
    </row>
    <row r="527" spans="5:5" x14ac:dyDescent="0.2">
      <c r="E527" s="1"/>
    </row>
    <row r="528" spans="5:5" x14ac:dyDescent="0.2">
      <c r="E528" s="1"/>
    </row>
    <row r="529" spans="5:5" x14ac:dyDescent="0.2">
      <c r="E529" s="1"/>
    </row>
    <row r="530" spans="5:5" x14ac:dyDescent="0.2">
      <c r="E530" s="1"/>
    </row>
    <row r="531" spans="5:5" x14ac:dyDescent="0.2">
      <c r="E531" s="1"/>
    </row>
    <row r="532" spans="5:5" x14ac:dyDescent="0.2">
      <c r="E532" s="1"/>
    </row>
    <row r="533" spans="5:5" x14ac:dyDescent="0.2">
      <c r="E533" s="1"/>
    </row>
    <row r="534" spans="5:5" x14ac:dyDescent="0.2">
      <c r="E534" s="1"/>
    </row>
    <row r="535" spans="5:5" x14ac:dyDescent="0.2">
      <c r="E535" s="1"/>
    </row>
    <row r="536" spans="5:5" x14ac:dyDescent="0.2">
      <c r="E536" s="1"/>
    </row>
    <row r="537" spans="5:5" x14ac:dyDescent="0.2">
      <c r="E537" s="1"/>
    </row>
    <row r="538" spans="5:5" x14ac:dyDescent="0.2">
      <c r="E538" s="1"/>
    </row>
    <row r="539" spans="5:5" x14ac:dyDescent="0.2">
      <c r="E539" s="1"/>
    </row>
    <row r="540" spans="5:5" x14ac:dyDescent="0.2">
      <c r="E540" s="1"/>
    </row>
    <row r="541" spans="5:5" x14ac:dyDescent="0.2">
      <c r="E541" s="1"/>
    </row>
    <row r="542" spans="5:5" x14ac:dyDescent="0.2">
      <c r="E542" s="1"/>
    </row>
    <row r="543" spans="5:5" x14ac:dyDescent="0.2">
      <c r="E543" s="1"/>
    </row>
    <row r="544" spans="5:5" x14ac:dyDescent="0.2">
      <c r="E544" s="1"/>
    </row>
    <row r="545" spans="5:5" x14ac:dyDescent="0.2">
      <c r="E545" s="1"/>
    </row>
    <row r="546" spans="5:5" x14ac:dyDescent="0.2">
      <c r="E546" s="1"/>
    </row>
    <row r="547" spans="5:5" x14ac:dyDescent="0.2">
      <c r="E547" s="1"/>
    </row>
    <row r="548" spans="5:5" x14ac:dyDescent="0.2">
      <c r="E548" s="1"/>
    </row>
    <row r="549" spans="5:5" x14ac:dyDescent="0.2">
      <c r="E549" s="1"/>
    </row>
    <row r="550" spans="5:5" x14ac:dyDescent="0.2">
      <c r="E550" s="1"/>
    </row>
    <row r="551" spans="5:5" x14ac:dyDescent="0.2">
      <c r="E551" s="1"/>
    </row>
    <row r="552" spans="5:5" x14ac:dyDescent="0.2">
      <c r="E552" s="1"/>
    </row>
    <row r="553" spans="5:5" x14ac:dyDescent="0.2">
      <c r="E553" s="1"/>
    </row>
    <row r="554" spans="5:5" x14ac:dyDescent="0.2">
      <c r="E554" s="1"/>
    </row>
    <row r="555" spans="5:5" x14ac:dyDescent="0.2">
      <c r="E555" s="1"/>
    </row>
    <row r="556" spans="5:5" x14ac:dyDescent="0.2">
      <c r="E556" s="1"/>
    </row>
    <row r="557" spans="5:5" x14ac:dyDescent="0.2">
      <c r="E557" s="1"/>
    </row>
    <row r="558" spans="5:5" x14ac:dyDescent="0.2">
      <c r="E558" s="1"/>
    </row>
    <row r="559" spans="5:5" x14ac:dyDescent="0.2">
      <c r="E559" s="1"/>
    </row>
    <row r="560" spans="5:5" x14ac:dyDescent="0.2">
      <c r="E560" s="1"/>
    </row>
    <row r="561" spans="5:5" x14ac:dyDescent="0.2">
      <c r="E561" s="1"/>
    </row>
    <row r="562" spans="5:5" x14ac:dyDescent="0.2">
      <c r="E562" s="1"/>
    </row>
    <row r="563" spans="5:5" x14ac:dyDescent="0.2">
      <c r="E563" s="1"/>
    </row>
    <row r="564" spans="5:5" x14ac:dyDescent="0.2">
      <c r="E564" s="1"/>
    </row>
    <row r="565" spans="5:5" x14ac:dyDescent="0.2">
      <c r="E565" s="1"/>
    </row>
    <row r="566" spans="5:5" x14ac:dyDescent="0.2">
      <c r="E566" s="1"/>
    </row>
    <row r="567" spans="5:5" x14ac:dyDescent="0.2">
      <c r="E567" s="1"/>
    </row>
    <row r="568" spans="5:5" x14ac:dyDescent="0.2">
      <c r="E568" s="1"/>
    </row>
    <row r="569" spans="5:5" x14ac:dyDescent="0.2">
      <c r="E569" s="1"/>
    </row>
    <row r="570" spans="5:5" x14ac:dyDescent="0.2">
      <c r="E570" s="1"/>
    </row>
    <row r="571" spans="5:5" x14ac:dyDescent="0.2">
      <c r="E571" s="1"/>
    </row>
    <row r="572" spans="5:5" x14ac:dyDescent="0.2">
      <c r="E572" s="1"/>
    </row>
    <row r="573" spans="5:5" x14ac:dyDescent="0.2">
      <c r="E573" s="1"/>
    </row>
    <row r="574" spans="5:5" x14ac:dyDescent="0.2">
      <c r="E574" s="1"/>
    </row>
    <row r="575" spans="5:5" x14ac:dyDescent="0.2">
      <c r="E575" s="1"/>
    </row>
    <row r="576" spans="5:5" x14ac:dyDescent="0.2">
      <c r="E576" s="1"/>
    </row>
    <row r="577" spans="5:5" x14ac:dyDescent="0.2">
      <c r="E577" s="1"/>
    </row>
    <row r="578" spans="5:5" x14ac:dyDescent="0.2">
      <c r="E578" s="1"/>
    </row>
    <row r="579" spans="5:5" x14ac:dyDescent="0.2">
      <c r="E579" s="1"/>
    </row>
    <row r="580" spans="5:5" x14ac:dyDescent="0.2">
      <c r="E580" s="1"/>
    </row>
    <row r="581" spans="5:5" x14ac:dyDescent="0.2">
      <c r="E581" s="1"/>
    </row>
    <row r="582" spans="5:5" x14ac:dyDescent="0.2">
      <c r="E582" s="1"/>
    </row>
    <row r="583" spans="5:5" x14ac:dyDescent="0.2">
      <c r="E583" s="1"/>
    </row>
    <row r="584" spans="5:5" x14ac:dyDescent="0.2">
      <c r="E584" s="1"/>
    </row>
    <row r="585" spans="5:5" x14ac:dyDescent="0.2">
      <c r="E585" s="1"/>
    </row>
    <row r="586" spans="5:5" x14ac:dyDescent="0.2">
      <c r="E586" s="1"/>
    </row>
    <row r="587" spans="5:5" x14ac:dyDescent="0.2">
      <c r="E587" s="1"/>
    </row>
    <row r="588" spans="5:5" x14ac:dyDescent="0.2">
      <c r="E588" s="1"/>
    </row>
    <row r="589" spans="5:5" x14ac:dyDescent="0.2">
      <c r="E589" s="1"/>
    </row>
    <row r="590" spans="5:5" x14ac:dyDescent="0.2">
      <c r="E590" s="1"/>
    </row>
    <row r="591" spans="5:5" x14ac:dyDescent="0.2">
      <c r="E591" s="1"/>
    </row>
    <row r="592" spans="5:5" x14ac:dyDescent="0.2">
      <c r="E592" s="1"/>
    </row>
    <row r="593" spans="5:5" x14ac:dyDescent="0.2">
      <c r="E593" s="1"/>
    </row>
    <row r="594" spans="5:5" x14ac:dyDescent="0.2">
      <c r="E594" s="1"/>
    </row>
    <row r="595" spans="5:5" x14ac:dyDescent="0.2">
      <c r="E595" s="1"/>
    </row>
    <row r="596" spans="5:5" x14ac:dyDescent="0.2">
      <c r="E596" s="1"/>
    </row>
    <row r="597" spans="5:5" x14ac:dyDescent="0.2">
      <c r="E597" s="1"/>
    </row>
    <row r="598" spans="5:5" x14ac:dyDescent="0.2">
      <c r="E598" s="1"/>
    </row>
    <row r="599" spans="5:5" x14ac:dyDescent="0.2">
      <c r="E599" s="1"/>
    </row>
    <row r="600" spans="5:5" x14ac:dyDescent="0.2">
      <c r="E600" s="1"/>
    </row>
    <row r="601" spans="5:5" x14ac:dyDescent="0.2">
      <c r="E601" s="1"/>
    </row>
    <row r="602" spans="5:5" x14ac:dyDescent="0.2">
      <c r="E602" s="1"/>
    </row>
    <row r="603" spans="5:5" x14ac:dyDescent="0.2">
      <c r="E603" s="1"/>
    </row>
    <row r="604" spans="5:5" x14ac:dyDescent="0.2">
      <c r="E604" s="1"/>
    </row>
    <row r="605" spans="5:5" x14ac:dyDescent="0.2">
      <c r="E605" s="1"/>
    </row>
    <row r="606" spans="5:5" x14ac:dyDescent="0.2">
      <c r="E606" s="1"/>
    </row>
    <row r="607" spans="5:5" x14ac:dyDescent="0.2">
      <c r="E607" s="1"/>
    </row>
    <row r="608" spans="5:5" x14ac:dyDescent="0.2">
      <c r="E608" s="1"/>
    </row>
    <row r="609" spans="5:5" x14ac:dyDescent="0.2">
      <c r="E609" s="1"/>
    </row>
    <row r="610" spans="5:5" x14ac:dyDescent="0.2">
      <c r="E610" s="1"/>
    </row>
    <row r="611" spans="5:5" x14ac:dyDescent="0.2">
      <c r="E611" s="1"/>
    </row>
    <row r="612" spans="5:5" x14ac:dyDescent="0.2">
      <c r="E612" s="1"/>
    </row>
    <row r="613" spans="5:5" x14ac:dyDescent="0.2">
      <c r="E613" s="1"/>
    </row>
    <row r="614" spans="5:5" x14ac:dyDescent="0.2">
      <c r="E614" s="1"/>
    </row>
    <row r="615" spans="5:5" x14ac:dyDescent="0.2">
      <c r="E615" s="1"/>
    </row>
    <row r="616" spans="5:5" x14ac:dyDescent="0.2">
      <c r="E616" s="1"/>
    </row>
    <row r="617" spans="5:5" x14ac:dyDescent="0.2">
      <c r="E617" s="1"/>
    </row>
    <row r="618" spans="5:5" x14ac:dyDescent="0.2">
      <c r="E618" s="1"/>
    </row>
    <row r="619" spans="5:5" x14ac:dyDescent="0.2">
      <c r="E619" s="1"/>
    </row>
    <row r="620" spans="5:5" x14ac:dyDescent="0.2">
      <c r="E620" s="1"/>
    </row>
    <row r="621" spans="5:5" x14ac:dyDescent="0.2">
      <c r="E621" s="1"/>
    </row>
    <row r="622" spans="5:5" x14ac:dyDescent="0.2">
      <c r="E622" s="1"/>
    </row>
    <row r="623" spans="5:5" x14ac:dyDescent="0.2">
      <c r="E623" s="1"/>
    </row>
    <row r="624" spans="5:5" x14ac:dyDescent="0.2">
      <c r="E624" s="1"/>
    </row>
    <row r="625" spans="5:5" x14ac:dyDescent="0.2">
      <c r="E625" s="1"/>
    </row>
    <row r="626" spans="5:5" x14ac:dyDescent="0.2">
      <c r="E626" s="1"/>
    </row>
    <row r="627" spans="5:5" x14ac:dyDescent="0.2">
      <c r="E627" s="1"/>
    </row>
    <row r="628" spans="5:5" x14ac:dyDescent="0.2">
      <c r="E628" s="1"/>
    </row>
    <row r="629" spans="5:5" x14ac:dyDescent="0.2">
      <c r="E629" s="1"/>
    </row>
    <row r="630" spans="5:5" x14ac:dyDescent="0.2">
      <c r="E630" s="1"/>
    </row>
    <row r="631" spans="5:5" x14ac:dyDescent="0.2">
      <c r="E631" s="1"/>
    </row>
    <row r="632" spans="5:5" x14ac:dyDescent="0.2">
      <c r="E632" s="1"/>
    </row>
    <row r="633" spans="5:5" x14ac:dyDescent="0.2">
      <c r="E633" s="1"/>
    </row>
    <row r="634" spans="5:5" x14ac:dyDescent="0.2">
      <c r="E634" s="1"/>
    </row>
    <row r="635" spans="5:5" x14ac:dyDescent="0.2">
      <c r="E635" s="1"/>
    </row>
    <row r="636" spans="5:5" x14ac:dyDescent="0.2">
      <c r="E636" s="1"/>
    </row>
    <row r="637" spans="5:5" x14ac:dyDescent="0.2">
      <c r="E637" s="1"/>
    </row>
    <row r="638" spans="5:5" x14ac:dyDescent="0.2">
      <c r="E638" s="1"/>
    </row>
    <row r="639" spans="5:5" x14ac:dyDescent="0.2">
      <c r="E639" s="1"/>
    </row>
    <row r="640" spans="5:5" x14ac:dyDescent="0.2">
      <c r="E640" s="1"/>
    </row>
    <row r="641" spans="5:5" x14ac:dyDescent="0.2">
      <c r="E641" s="1"/>
    </row>
    <row r="642" spans="5:5" x14ac:dyDescent="0.2">
      <c r="E642" s="1"/>
    </row>
    <row r="643" spans="5:5" x14ac:dyDescent="0.2">
      <c r="E643" s="1"/>
    </row>
    <row r="644" spans="5:5" x14ac:dyDescent="0.2">
      <c r="E644" s="1"/>
    </row>
    <row r="645" spans="5:5" x14ac:dyDescent="0.2">
      <c r="E645" s="1"/>
    </row>
    <row r="646" spans="5:5" x14ac:dyDescent="0.2">
      <c r="E646" s="1"/>
    </row>
    <row r="647" spans="5:5" x14ac:dyDescent="0.2">
      <c r="E647" s="1"/>
    </row>
    <row r="648" spans="5:5" x14ac:dyDescent="0.2">
      <c r="E648" s="1"/>
    </row>
    <row r="649" spans="5:5" x14ac:dyDescent="0.2">
      <c r="E649" s="1"/>
    </row>
    <row r="650" spans="5:5" x14ac:dyDescent="0.2">
      <c r="E650" s="1"/>
    </row>
    <row r="651" spans="5:5" x14ac:dyDescent="0.2">
      <c r="E651" s="1"/>
    </row>
    <row r="652" spans="5:5" x14ac:dyDescent="0.2">
      <c r="E652" s="1"/>
    </row>
    <row r="653" spans="5:5" x14ac:dyDescent="0.2">
      <c r="E653" s="1"/>
    </row>
    <row r="654" spans="5:5" x14ac:dyDescent="0.2">
      <c r="E654" s="1"/>
    </row>
    <row r="655" spans="5:5" x14ac:dyDescent="0.2">
      <c r="E655" s="1"/>
    </row>
    <row r="656" spans="5:5" x14ac:dyDescent="0.2">
      <c r="E656" s="1"/>
    </row>
    <row r="657" spans="5:5" x14ac:dyDescent="0.2">
      <c r="E657" s="1"/>
    </row>
    <row r="658" spans="5:5" x14ac:dyDescent="0.2">
      <c r="E658" s="1"/>
    </row>
    <row r="659" spans="5:5" x14ac:dyDescent="0.2">
      <c r="E659" s="1"/>
    </row>
    <row r="660" spans="5:5" x14ac:dyDescent="0.2">
      <c r="E660" s="1"/>
    </row>
    <row r="661" spans="5:5" x14ac:dyDescent="0.2">
      <c r="E661" s="1"/>
    </row>
    <row r="662" spans="5:5" x14ac:dyDescent="0.2">
      <c r="E662" s="1"/>
    </row>
    <row r="663" spans="5:5" x14ac:dyDescent="0.2">
      <c r="E663" s="1"/>
    </row>
    <row r="664" spans="5:5" x14ac:dyDescent="0.2">
      <c r="E664" s="1"/>
    </row>
    <row r="665" spans="5:5" x14ac:dyDescent="0.2">
      <c r="E665" s="1"/>
    </row>
    <row r="666" spans="5:5" x14ac:dyDescent="0.2">
      <c r="E666" s="1"/>
    </row>
    <row r="667" spans="5:5" x14ac:dyDescent="0.2">
      <c r="E667" s="1"/>
    </row>
    <row r="668" spans="5:5" x14ac:dyDescent="0.2">
      <c r="E668" s="1"/>
    </row>
    <row r="669" spans="5:5" x14ac:dyDescent="0.2">
      <c r="E669" s="1"/>
    </row>
    <row r="670" spans="5:5" x14ac:dyDescent="0.2">
      <c r="E670" s="1"/>
    </row>
    <row r="671" spans="5:5" x14ac:dyDescent="0.2">
      <c r="E671" s="1"/>
    </row>
    <row r="672" spans="5:5" x14ac:dyDescent="0.2">
      <c r="E672" s="1"/>
    </row>
    <row r="673" spans="5:5" x14ac:dyDescent="0.2">
      <c r="E673" s="1"/>
    </row>
    <row r="674" spans="5:5" x14ac:dyDescent="0.2">
      <c r="E674" s="1"/>
    </row>
    <row r="675" spans="5:5" x14ac:dyDescent="0.2">
      <c r="E675" s="1"/>
    </row>
    <row r="676" spans="5:5" x14ac:dyDescent="0.2">
      <c r="E676" s="1"/>
    </row>
    <row r="677" spans="5:5" x14ac:dyDescent="0.2">
      <c r="E677" s="1"/>
    </row>
    <row r="678" spans="5:5" x14ac:dyDescent="0.2">
      <c r="E678" s="1"/>
    </row>
    <row r="679" spans="5:5" x14ac:dyDescent="0.2">
      <c r="E679" s="1"/>
    </row>
    <row r="680" spans="5:5" x14ac:dyDescent="0.2">
      <c r="E680" s="1"/>
    </row>
    <row r="681" spans="5:5" x14ac:dyDescent="0.2">
      <c r="E681" s="1"/>
    </row>
    <row r="682" spans="5:5" x14ac:dyDescent="0.2">
      <c r="E682" s="1"/>
    </row>
    <row r="683" spans="5:5" x14ac:dyDescent="0.2">
      <c r="E683" s="1"/>
    </row>
    <row r="684" spans="5:5" x14ac:dyDescent="0.2">
      <c r="E684" s="1"/>
    </row>
    <row r="685" spans="5:5" x14ac:dyDescent="0.2">
      <c r="E685" s="1"/>
    </row>
    <row r="686" spans="5:5" x14ac:dyDescent="0.2">
      <c r="E686" s="1"/>
    </row>
    <row r="687" spans="5:5" x14ac:dyDescent="0.2">
      <c r="E687" s="1"/>
    </row>
    <row r="688" spans="5:5" x14ac:dyDescent="0.2">
      <c r="E688" s="1"/>
    </row>
    <row r="689" spans="5:5" x14ac:dyDescent="0.2">
      <c r="E689" s="1"/>
    </row>
    <row r="690" spans="5:5" x14ac:dyDescent="0.2">
      <c r="E690" s="1"/>
    </row>
    <row r="691" spans="5:5" x14ac:dyDescent="0.2">
      <c r="E691" s="1"/>
    </row>
    <row r="692" spans="5:5" x14ac:dyDescent="0.2">
      <c r="E692" s="1"/>
    </row>
    <row r="693" spans="5:5" x14ac:dyDescent="0.2">
      <c r="E693" s="1"/>
    </row>
    <row r="694" spans="5:5" x14ac:dyDescent="0.2">
      <c r="E694" s="1"/>
    </row>
    <row r="695" spans="5:5" x14ac:dyDescent="0.2">
      <c r="E695" s="1"/>
    </row>
    <row r="696" spans="5:5" x14ac:dyDescent="0.2">
      <c r="E696" s="1"/>
    </row>
    <row r="697" spans="5:5" x14ac:dyDescent="0.2">
      <c r="E697" s="1"/>
    </row>
    <row r="698" spans="5:5" x14ac:dyDescent="0.2">
      <c r="E698" s="1"/>
    </row>
    <row r="699" spans="5:5" x14ac:dyDescent="0.2">
      <c r="E699" s="1"/>
    </row>
    <row r="700" spans="5:5" x14ac:dyDescent="0.2">
      <c r="E700" s="1"/>
    </row>
    <row r="701" spans="5:5" x14ac:dyDescent="0.2">
      <c r="E701" s="1"/>
    </row>
    <row r="702" spans="5:5" x14ac:dyDescent="0.2">
      <c r="E702" s="1"/>
    </row>
    <row r="703" spans="5:5" x14ac:dyDescent="0.2">
      <c r="E703" s="1"/>
    </row>
    <row r="704" spans="5:5" x14ac:dyDescent="0.2">
      <c r="E704" s="1"/>
    </row>
    <row r="705" spans="5:5" x14ac:dyDescent="0.2">
      <c r="E705" s="1"/>
    </row>
    <row r="706" spans="5:5" x14ac:dyDescent="0.2">
      <c r="E706" s="1"/>
    </row>
    <row r="707" spans="5:5" x14ac:dyDescent="0.2">
      <c r="E707" s="1"/>
    </row>
    <row r="708" spans="5:5" x14ac:dyDescent="0.2">
      <c r="E708" s="1"/>
    </row>
    <row r="709" spans="5:5" x14ac:dyDescent="0.2">
      <c r="E709" s="1"/>
    </row>
    <row r="710" spans="5:5" x14ac:dyDescent="0.2">
      <c r="E710" s="1"/>
    </row>
    <row r="711" spans="5:5" x14ac:dyDescent="0.2">
      <c r="E711" s="1"/>
    </row>
    <row r="712" spans="5:5" x14ac:dyDescent="0.2">
      <c r="E712" s="1"/>
    </row>
    <row r="713" spans="5:5" x14ac:dyDescent="0.2">
      <c r="E713" s="1"/>
    </row>
    <row r="714" spans="5:5" x14ac:dyDescent="0.2">
      <c r="E714" s="1"/>
    </row>
    <row r="715" spans="5:5" x14ac:dyDescent="0.2">
      <c r="E715" s="1"/>
    </row>
    <row r="716" spans="5:5" x14ac:dyDescent="0.2">
      <c r="E716" s="1"/>
    </row>
    <row r="717" spans="5:5" x14ac:dyDescent="0.2">
      <c r="E717" s="1"/>
    </row>
    <row r="718" spans="5:5" x14ac:dyDescent="0.2">
      <c r="E718" s="1"/>
    </row>
    <row r="719" spans="5:5" x14ac:dyDescent="0.2">
      <c r="E719" s="1"/>
    </row>
    <row r="720" spans="5:5" x14ac:dyDescent="0.2">
      <c r="E720" s="1"/>
    </row>
    <row r="721" spans="5:5" x14ac:dyDescent="0.2">
      <c r="E721" s="1"/>
    </row>
    <row r="722" spans="5:5" x14ac:dyDescent="0.2">
      <c r="E722" s="1"/>
    </row>
    <row r="723" spans="5:5" x14ac:dyDescent="0.2">
      <c r="E723" s="1"/>
    </row>
    <row r="724" spans="5:5" x14ac:dyDescent="0.2">
      <c r="E724" s="1"/>
    </row>
    <row r="725" spans="5:5" x14ac:dyDescent="0.2">
      <c r="E725" s="1"/>
    </row>
    <row r="726" spans="5:5" x14ac:dyDescent="0.2">
      <c r="E726" s="1"/>
    </row>
    <row r="727" spans="5:5" x14ac:dyDescent="0.2">
      <c r="E727" s="1"/>
    </row>
    <row r="728" spans="5:5" x14ac:dyDescent="0.2">
      <c r="E728" s="1"/>
    </row>
    <row r="729" spans="5:5" x14ac:dyDescent="0.2">
      <c r="E729" s="1"/>
    </row>
    <row r="730" spans="5:5" x14ac:dyDescent="0.2">
      <c r="E730" s="1"/>
    </row>
    <row r="731" spans="5:5" x14ac:dyDescent="0.2">
      <c r="E731" s="1"/>
    </row>
    <row r="732" spans="5:5" x14ac:dyDescent="0.2">
      <c r="E732" s="1"/>
    </row>
    <row r="733" spans="5:5" x14ac:dyDescent="0.2">
      <c r="E733" s="1"/>
    </row>
    <row r="734" spans="5:5" x14ac:dyDescent="0.2">
      <c r="E734" s="1"/>
    </row>
    <row r="735" spans="5:5" x14ac:dyDescent="0.2">
      <c r="E735" s="1"/>
    </row>
    <row r="736" spans="5:5" x14ac:dyDescent="0.2">
      <c r="E736" s="1"/>
    </row>
    <row r="737" spans="5:5" x14ac:dyDescent="0.2">
      <c r="E737" s="1"/>
    </row>
    <row r="738" spans="5:5" x14ac:dyDescent="0.2">
      <c r="E738" s="1"/>
    </row>
    <row r="739" spans="5:5" x14ac:dyDescent="0.2">
      <c r="E739" s="1"/>
    </row>
    <row r="740" spans="5:5" x14ac:dyDescent="0.2">
      <c r="E740" s="1"/>
    </row>
    <row r="741" spans="5:5" x14ac:dyDescent="0.2">
      <c r="E741" s="1"/>
    </row>
    <row r="742" spans="5:5" x14ac:dyDescent="0.2">
      <c r="E742" s="1"/>
    </row>
    <row r="743" spans="5:5" x14ac:dyDescent="0.2">
      <c r="E743" s="1"/>
    </row>
    <row r="744" spans="5:5" x14ac:dyDescent="0.2">
      <c r="E744" s="1"/>
    </row>
    <row r="745" spans="5:5" x14ac:dyDescent="0.2">
      <c r="E745" s="1"/>
    </row>
    <row r="746" spans="5:5" x14ac:dyDescent="0.2">
      <c r="E746" s="1"/>
    </row>
    <row r="747" spans="5:5" x14ac:dyDescent="0.2">
      <c r="E747" s="1"/>
    </row>
    <row r="748" spans="5:5" x14ac:dyDescent="0.2">
      <c r="E748" s="1"/>
    </row>
    <row r="749" spans="5:5" x14ac:dyDescent="0.2">
      <c r="E749" s="1"/>
    </row>
    <row r="750" spans="5:5" x14ac:dyDescent="0.2">
      <c r="E750" s="1"/>
    </row>
    <row r="751" spans="5:5" x14ac:dyDescent="0.2">
      <c r="E751" s="1"/>
    </row>
    <row r="752" spans="5:5" x14ac:dyDescent="0.2">
      <c r="E752" s="1"/>
    </row>
    <row r="753" spans="5:5" x14ac:dyDescent="0.2">
      <c r="E753" s="1"/>
    </row>
    <row r="754" spans="5:5" x14ac:dyDescent="0.2">
      <c r="E754" s="1"/>
    </row>
    <row r="755" spans="5:5" x14ac:dyDescent="0.2">
      <c r="E755" s="1"/>
    </row>
    <row r="756" spans="5:5" x14ac:dyDescent="0.2">
      <c r="E756" s="1"/>
    </row>
    <row r="757" spans="5:5" x14ac:dyDescent="0.2">
      <c r="E757" s="1"/>
    </row>
    <row r="758" spans="5:5" x14ac:dyDescent="0.2">
      <c r="E758" s="1"/>
    </row>
    <row r="759" spans="5:5" x14ac:dyDescent="0.2">
      <c r="E759" s="1"/>
    </row>
    <row r="760" spans="5:5" x14ac:dyDescent="0.2">
      <c r="E760" s="1"/>
    </row>
    <row r="761" spans="5:5" x14ac:dyDescent="0.2">
      <c r="E761" s="1"/>
    </row>
    <row r="762" spans="5:5" x14ac:dyDescent="0.2">
      <c r="E762" s="1"/>
    </row>
    <row r="763" spans="5:5" x14ac:dyDescent="0.2">
      <c r="E763" s="1"/>
    </row>
    <row r="764" spans="5:5" x14ac:dyDescent="0.2">
      <c r="E764" s="1"/>
    </row>
    <row r="765" spans="5:5" x14ac:dyDescent="0.2">
      <c r="E765" s="1"/>
    </row>
    <row r="766" spans="5:5" x14ac:dyDescent="0.2">
      <c r="E766" s="1"/>
    </row>
    <row r="767" spans="5:5" x14ac:dyDescent="0.2">
      <c r="E767" s="1"/>
    </row>
    <row r="768" spans="5:5" x14ac:dyDescent="0.2">
      <c r="E768" s="1"/>
    </row>
    <row r="769" spans="5:5" x14ac:dyDescent="0.2">
      <c r="E769" s="1"/>
    </row>
    <row r="770" spans="5:5" x14ac:dyDescent="0.2">
      <c r="E770" s="1"/>
    </row>
    <row r="771" spans="5:5" x14ac:dyDescent="0.2">
      <c r="E771" s="1"/>
    </row>
    <row r="772" spans="5:5" x14ac:dyDescent="0.2">
      <c r="E772" s="1"/>
    </row>
    <row r="773" spans="5:5" x14ac:dyDescent="0.2">
      <c r="E773" s="1"/>
    </row>
    <row r="774" spans="5:5" x14ac:dyDescent="0.2">
      <c r="E774" s="1"/>
    </row>
    <row r="775" spans="5:5" x14ac:dyDescent="0.2">
      <c r="E775" s="1"/>
    </row>
    <row r="776" spans="5:5" x14ac:dyDescent="0.2">
      <c r="E776" s="1"/>
    </row>
    <row r="777" spans="5:5" x14ac:dyDescent="0.2">
      <c r="E777" s="1"/>
    </row>
    <row r="778" spans="5:5" x14ac:dyDescent="0.2">
      <c r="E778" s="1"/>
    </row>
    <row r="779" spans="5:5" x14ac:dyDescent="0.2">
      <c r="E779" s="1"/>
    </row>
    <row r="780" spans="5:5" x14ac:dyDescent="0.2">
      <c r="E780" s="1"/>
    </row>
    <row r="781" spans="5:5" x14ac:dyDescent="0.2">
      <c r="E781" s="1"/>
    </row>
    <row r="782" spans="5:5" x14ac:dyDescent="0.2">
      <c r="E782" s="1"/>
    </row>
    <row r="783" spans="5:5" x14ac:dyDescent="0.2">
      <c r="E783" s="1"/>
    </row>
    <row r="784" spans="5:5" x14ac:dyDescent="0.2">
      <c r="E784" s="1"/>
    </row>
    <row r="785" spans="5:5" x14ac:dyDescent="0.2">
      <c r="E785" s="1"/>
    </row>
    <row r="786" spans="5:5" x14ac:dyDescent="0.2">
      <c r="E786" s="1"/>
    </row>
    <row r="787" spans="5:5" x14ac:dyDescent="0.2">
      <c r="E787" s="1"/>
    </row>
    <row r="788" spans="5:5" x14ac:dyDescent="0.2">
      <c r="E788" s="1"/>
    </row>
    <row r="789" spans="5:5" x14ac:dyDescent="0.2">
      <c r="E789" s="1"/>
    </row>
    <row r="790" spans="5:5" x14ac:dyDescent="0.2">
      <c r="E790" s="1"/>
    </row>
    <row r="791" spans="5:5" x14ac:dyDescent="0.2">
      <c r="E791" s="1"/>
    </row>
    <row r="792" spans="5:5" x14ac:dyDescent="0.2">
      <c r="E792" s="1"/>
    </row>
    <row r="793" spans="5:5" x14ac:dyDescent="0.2">
      <c r="E793" s="1"/>
    </row>
    <row r="794" spans="5:5" x14ac:dyDescent="0.2">
      <c r="E794" s="1"/>
    </row>
    <row r="795" spans="5:5" x14ac:dyDescent="0.2">
      <c r="E795" s="1"/>
    </row>
    <row r="796" spans="5:5" x14ac:dyDescent="0.2">
      <c r="E796" s="1"/>
    </row>
    <row r="797" spans="5:5" x14ac:dyDescent="0.2">
      <c r="E797" s="1"/>
    </row>
    <row r="798" spans="5:5" x14ac:dyDescent="0.2">
      <c r="E798" s="1"/>
    </row>
    <row r="799" spans="5:5" x14ac:dyDescent="0.2">
      <c r="E799" s="1"/>
    </row>
    <row r="800" spans="5:5" x14ac:dyDescent="0.2">
      <c r="E800" s="1"/>
    </row>
    <row r="801" spans="5:5" x14ac:dyDescent="0.2">
      <c r="E801" s="1"/>
    </row>
    <row r="802" spans="5:5" x14ac:dyDescent="0.2">
      <c r="E802" s="1"/>
    </row>
    <row r="803" spans="5:5" x14ac:dyDescent="0.2">
      <c r="E803" s="1"/>
    </row>
    <row r="804" spans="5:5" x14ac:dyDescent="0.2">
      <c r="E804" s="1"/>
    </row>
    <row r="805" spans="5:5" x14ac:dyDescent="0.2">
      <c r="E805" s="1"/>
    </row>
    <row r="806" spans="5:5" x14ac:dyDescent="0.2">
      <c r="E806" s="1"/>
    </row>
    <row r="807" spans="5:5" x14ac:dyDescent="0.2">
      <c r="E807" s="1"/>
    </row>
    <row r="808" spans="5:5" x14ac:dyDescent="0.2">
      <c r="E808" s="1"/>
    </row>
    <row r="809" spans="5:5" x14ac:dyDescent="0.2">
      <c r="E809" s="1"/>
    </row>
    <row r="810" spans="5:5" x14ac:dyDescent="0.2">
      <c r="E810" s="1"/>
    </row>
    <row r="811" spans="5:5" x14ac:dyDescent="0.2">
      <c r="E811" s="1"/>
    </row>
    <row r="812" spans="5:5" x14ac:dyDescent="0.2">
      <c r="E812" s="1"/>
    </row>
    <row r="813" spans="5:5" x14ac:dyDescent="0.2">
      <c r="E813" s="1"/>
    </row>
    <row r="814" spans="5:5" x14ac:dyDescent="0.2">
      <c r="E814" s="1"/>
    </row>
    <row r="815" spans="5:5" x14ac:dyDescent="0.2">
      <c r="E815" s="1"/>
    </row>
    <row r="816" spans="5:5" x14ac:dyDescent="0.2">
      <c r="E816" s="1"/>
    </row>
    <row r="817" spans="5:5" x14ac:dyDescent="0.2">
      <c r="E817" s="1"/>
    </row>
    <row r="818" spans="5:5" x14ac:dyDescent="0.2">
      <c r="E818" s="1"/>
    </row>
    <row r="819" spans="5:5" x14ac:dyDescent="0.2">
      <c r="E819" s="1"/>
    </row>
    <row r="820" spans="5:5" x14ac:dyDescent="0.2">
      <c r="E820" s="1"/>
    </row>
    <row r="821" spans="5:5" x14ac:dyDescent="0.2">
      <c r="E821" s="1"/>
    </row>
    <row r="822" spans="5:5" x14ac:dyDescent="0.2">
      <c r="E822" s="1"/>
    </row>
    <row r="823" spans="5:5" x14ac:dyDescent="0.2">
      <c r="E823" s="1"/>
    </row>
    <row r="824" spans="5:5" x14ac:dyDescent="0.2">
      <c r="E824" s="1"/>
    </row>
    <row r="825" spans="5:5" x14ac:dyDescent="0.2">
      <c r="E825" s="1"/>
    </row>
    <row r="826" spans="5:5" x14ac:dyDescent="0.2">
      <c r="E826" s="1"/>
    </row>
    <row r="827" spans="5:5" x14ac:dyDescent="0.2">
      <c r="E827" s="1"/>
    </row>
    <row r="828" spans="5:5" x14ac:dyDescent="0.2">
      <c r="E828" s="1"/>
    </row>
    <row r="829" spans="5:5" x14ac:dyDescent="0.2">
      <c r="E829" s="1"/>
    </row>
    <row r="830" spans="5:5" x14ac:dyDescent="0.2">
      <c r="E830" s="1"/>
    </row>
    <row r="831" spans="5:5" x14ac:dyDescent="0.2">
      <c r="E831" s="1"/>
    </row>
    <row r="832" spans="5:5" x14ac:dyDescent="0.2">
      <c r="E832" s="1"/>
    </row>
    <row r="833" spans="5:5" x14ac:dyDescent="0.2">
      <c r="E833" s="1"/>
    </row>
    <row r="834" spans="5:5" x14ac:dyDescent="0.2">
      <c r="E834" s="1"/>
    </row>
    <row r="835" spans="5:5" x14ac:dyDescent="0.2">
      <c r="E835" s="1"/>
    </row>
    <row r="836" spans="5:5" x14ac:dyDescent="0.2">
      <c r="E836" s="1"/>
    </row>
    <row r="837" spans="5:5" x14ac:dyDescent="0.2">
      <c r="E837" s="1"/>
    </row>
    <row r="838" spans="5:5" x14ac:dyDescent="0.2">
      <c r="E838" s="1"/>
    </row>
    <row r="839" spans="5:5" x14ac:dyDescent="0.2">
      <c r="E839" s="1"/>
    </row>
    <row r="840" spans="5:5" x14ac:dyDescent="0.2">
      <c r="E840" s="1"/>
    </row>
    <row r="841" spans="5:5" x14ac:dyDescent="0.2">
      <c r="E841" s="1"/>
    </row>
    <row r="842" spans="5:5" x14ac:dyDescent="0.2">
      <c r="E842" s="1"/>
    </row>
    <row r="843" spans="5:5" x14ac:dyDescent="0.2">
      <c r="E843" s="1"/>
    </row>
    <row r="844" spans="5:5" x14ac:dyDescent="0.2">
      <c r="E844" s="1"/>
    </row>
    <row r="845" spans="5:5" x14ac:dyDescent="0.2">
      <c r="E845" s="1"/>
    </row>
    <row r="846" spans="5:5" x14ac:dyDescent="0.2">
      <c r="E846" s="1"/>
    </row>
    <row r="847" spans="5:5" x14ac:dyDescent="0.2">
      <c r="E847" s="1"/>
    </row>
    <row r="848" spans="5:5" x14ac:dyDescent="0.2">
      <c r="E848" s="1"/>
    </row>
    <row r="849" spans="5:5" x14ac:dyDescent="0.2">
      <c r="E849" s="1"/>
    </row>
    <row r="850" spans="5:5" x14ac:dyDescent="0.2">
      <c r="E850" s="1"/>
    </row>
    <row r="851" spans="5:5" x14ac:dyDescent="0.2">
      <c r="E851" s="1"/>
    </row>
    <row r="852" spans="5:5" x14ac:dyDescent="0.2">
      <c r="E852" s="1"/>
    </row>
    <row r="853" spans="5:5" x14ac:dyDescent="0.2">
      <c r="E853" s="1"/>
    </row>
    <row r="854" spans="5:5" x14ac:dyDescent="0.2">
      <c r="E854" s="1"/>
    </row>
    <row r="855" spans="5:5" x14ac:dyDescent="0.2">
      <c r="E855" s="1"/>
    </row>
    <row r="856" spans="5:5" x14ac:dyDescent="0.2">
      <c r="E856" s="1"/>
    </row>
    <row r="857" spans="5:5" x14ac:dyDescent="0.2">
      <c r="E857" s="1"/>
    </row>
    <row r="858" spans="5:5" x14ac:dyDescent="0.2">
      <c r="E858" s="1"/>
    </row>
    <row r="859" spans="5:5" x14ac:dyDescent="0.2">
      <c r="E859" s="1"/>
    </row>
    <row r="860" spans="5:5" x14ac:dyDescent="0.2">
      <c r="E860" s="1"/>
    </row>
    <row r="861" spans="5:5" x14ac:dyDescent="0.2">
      <c r="E861" s="1"/>
    </row>
    <row r="862" spans="5:5" x14ac:dyDescent="0.2">
      <c r="E862" s="1"/>
    </row>
    <row r="863" spans="5:5" x14ac:dyDescent="0.2">
      <c r="E863" s="1"/>
    </row>
    <row r="864" spans="5:5" x14ac:dyDescent="0.2">
      <c r="E864" s="1"/>
    </row>
    <row r="865" spans="5:5" x14ac:dyDescent="0.2">
      <c r="E865" s="1"/>
    </row>
    <row r="866" spans="5:5" x14ac:dyDescent="0.2">
      <c r="E866" s="1"/>
    </row>
    <row r="867" spans="5:5" x14ac:dyDescent="0.2">
      <c r="E867" s="1"/>
    </row>
    <row r="868" spans="5:5" x14ac:dyDescent="0.2">
      <c r="E868" s="1"/>
    </row>
    <row r="869" spans="5:5" x14ac:dyDescent="0.2">
      <c r="E869" s="1"/>
    </row>
    <row r="870" spans="5:5" x14ac:dyDescent="0.2">
      <c r="E870" s="1"/>
    </row>
    <row r="871" spans="5:5" x14ac:dyDescent="0.2">
      <c r="E871" s="1"/>
    </row>
    <row r="872" spans="5:5" x14ac:dyDescent="0.2">
      <c r="E872" s="1"/>
    </row>
    <row r="873" spans="5:5" x14ac:dyDescent="0.2">
      <c r="E873" s="1"/>
    </row>
    <row r="874" spans="5:5" x14ac:dyDescent="0.2">
      <c r="E874" s="1"/>
    </row>
    <row r="875" spans="5:5" x14ac:dyDescent="0.2">
      <c r="E875" s="1"/>
    </row>
    <row r="876" spans="5:5" x14ac:dyDescent="0.2">
      <c r="E876" s="1"/>
    </row>
    <row r="877" spans="5:5" x14ac:dyDescent="0.2">
      <c r="E877" s="1"/>
    </row>
    <row r="878" spans="5:5" x14ac:dyDescent="0.2">
      <c r="E878" s="1"/>
    </row>
    <row r="879" spans="5:5" x14ac:dyDescent="0.2">
      <c r="E879" s="1"/>
    </row>
    <row r="880" spans="5:5" x14ac:dyDescent="0.2">
      <c r="E880" s="1"/>
    </row>
    <row r="881" spans="5:5" x14ac:dyDescent="0.2">
      <c r="E881" s="1"/>
    </row>
    <row r="882" spans="5:5" x14ac:dyDescent="0.2">
      <c r="E882" s="1"/>
    </row>
    <row r="883" spans="5:5" x14ac:dyDescent="0.2">
      <c r="E883" s="1"/>
    </row>
    <row r="884" spans="5:5" x14ac:dyDescent="0.2">
      <c r="E884" s="1"/>
    </row>
    <row r="885" spans="5:5" x14ac:dyDescent="0.2">
      <c r="E885" s="1"/>
    </row>
    <row r="886" spans="5:5" x14ac:dyDescent="0.2">
      <c r="E886" s="1"/>
    </row>
    <row r="887" spans="5:5" x14ac:dyDescent="0.2">
      <c r="E887" s="1"/>
    </row>
    <row r="888" spans="5:5" x14ac:dyDescent="0.2">
      <c r="E888" s="1"/>
    </row>
    <row r="889" spans="5:5" x14ac:dyDescent="0.2">
      <c r="E889" s="1"/>
    </row>
    <row r="890" spans="5:5" x14ac:dyDescent="0.2">
      <c r="E890" s="1"/>
    </row>
    <row r="891" spans="5:5" x14ac:dyDescent="0.2">
      <c r="E891" s="1"/>
    </row>
    <row r="892" spans="5:5" x14ac:dyDescent="0.2">
      <c r="E892" s="1"/>
    </row>
    <row r="893" spans="5:5" x14ac:dyDescent="0.2">
      <c r="E893" s="1"/>
    </row>
    <row r="894" spans="5:5" x14ac:dyDescent="0.2">
      <c r="E894" s="1"/>
    </row>
    <row r="895" spans="5:5" x14ac:dyDescent="0.2">
      <c r="E895" s="1"/>
    </row>
    <row r="896" spans="5:5" x14ac:dyDescent="0.2">
      <c r="E896" s="1"/>
    </row>
    <row r="897" spans="5:5" x14ac:dyDescent="0.2">
      <c r="E897" s="1"/>
    </row>
    <row r="898" spans="5:5" x14ac:dyDescent="0.2">
      <c r="E898" s="1"/>
    </row>
    <row r="899" spans="5:5" x14ac:dyDescent="0.2">
      <c r="E899" s="1"/>
    </row>
    <row r="900" spans="5:5" x14ac:dyDescent="0.2">
      <c r="E900" s="1"/>
    </row>
    <row r="901" spans="5:5" x14ac:dyDescent="0.2">
      <c r="E901" s="1"/>
    </row>
    <row r="902" spans="5:5" x14ac:dyDescent="0.2">
      <c r="E902" s="1"/>
    </row>
    <row r="903" spans="5:5" x14ac:dyDescent="0.2">
      <c r="E903" s="1"/>
    </row>
    <row r="904" spans="5:5" x14ac:dyDescent="0.2">
      <c r="E904" s="1"/>
    </row>
    <row r="905" spans="5:5" x14ac:dyDescent="0.2">
      <c r="E905" s="1"/>
    </row>
    <row r="906" spans="5:5" x14ac:dyDescent="0.2">
      <c r="E906" s="1"/>
    </row>
    <row r="907" spans="5:5" x14ac:dyDescent="0.2">
      <c r="E907" s="1"/>
    </row>
    <row r="908" spans="5:5" x14ac:dyDescent="0.2">
      <c r="E908" s="1"/>
    </row>
    <row r="909" spans="5:5" x14ac:dyDescent="0.2">
      <c r="E909" s="1"/>
    </row>
    <row r="910" spans="5:5" x14ac:dyDescent="0.2">
      <c r="E910" s="1"/>
    </row>
    <row r="911" spans="5:5" x14ac:dyDescent="0.2">
      <c r="E911" s="1"/>
    </row>
    <row r="912" spans="5:5" x14ac:dyDescent="0.2">
      <c r="E912" s="1"/>
    </row>
    <row r="913" spans="5:5" x14ac:dyDescent="0.2">
      <c r="E913" s="1"/>
    </row>
    <row r="914" spans="5:5" x14ac:dyDescent="0.2">
      <c r="E914" s="1"/>
    </row>
    <row r="915" spans="5:5" x14ac:dyDescent="0.2">
      <c r="E915" s="1"/>
    </row>
    <row r="916" spans="5:5" x14ac:dyDescent="0.2">
      <c r="E916" s="1"/>
    </row>
    <row r="917" spans="5:5" x14ac:dyDescent="0.2">
      <c r="E917" s="1"/>
    </row>
    <row r="918" spans="5:5" x14ac:dyDescent="0.2">
      <c r="E918" s="1"/>
    </row>
    <row r="919" spans="5:5" x14ac:dyDescent="0.2">
      <c r="E919" s="1"/>
    </row>
    <row r="920" spans="5:5" x14ac:dyDescent="0.2">
      <c r="E920" s="1"/>
    </row>
    <row r="921" spans="5:5" x14ac:dyDescent="0.2">
      <c r="E921" s="1"/>
    </row>
    <row r="922" spans="5:5" x14ac:dyDescent="0.2">
      <c r="E922" s="1"/>
    </row>
    <row r="923" spans="5:5" x14ac:dyDescent="0.2">
      <c r="E923" s="1"/>
    </row>
    <row r="924" spans="5:5" x14ac:dyDescent="0.2">
      <c r="E924" s="1"/>
    </row>
    <row r="925" spans="5:5" x14ac:dyDescent="0.2">
      <c r="E925" s="1"/>
    </row>
    <row r="926" spans="5:5" x14ac:dyDescent="0.2">
      <c r="E926" s="1"/>
    </row>
    <row r="927" spans="5:5" x14ac:dyDescent="0.2">
      <c r="E927" s="1"/>
    </row>
    <row r="928" spans="5:5" x14ac:dyDescent="0.2">
      <c r="E928" s="1"/>
    </row>
    <row r="929" spans="5:5" x14ac:dyDescent="0.2">
      <c r="E929" s="1"/>
    </row>
    <row r="930" spans="5:5" x14ac:dyDescent="0.2">
      <c r="E930" s="1"/>
    </row>
    <row r="931" spans="5:5" x14ac:dyDescent="0.2">
      <c r="E931" s="1"/>
    </row>
    <row r="932" spans="5:5" x14ac:dyDescent="0.2">
      <c r="E932" s="1"/>
    </row>
    <row r="933" spans="5:5" x14ac:dyDescent="0.2">
      <c r="E933" s="1"/>
    </row>
    <row r="934" spans="5:5" x14ac:dyDescent="0.2">
      <c r="E934" s="1"/>
    </row>
    <row r="935" spans="5:5" x14ac:dyDescent="0.2">
      <c r="E935" s="1"/>
    </row>
    <row r="936" spans="5:5" x14ac:dyDescent="0.2">
      <c r="E936" s="1"/>
    </row>
    <row r="937" spans="5:5" x14ac:dyDescent="0.2">
      <c r="E937" s="1"/>
    </row>
    <row r="938" spans="5:5" x14ac:dyDescent="0.2">
      <c r="E938" s="1"/>
    </row>
    <row r="939" spans="5:5" x14ac:dyDescent="0.2">
      <c r="E939" s="1"/>
    </row>
    <row r="940" spans="5:5" x14ac:dyDescent="0.2">
      <c r="E940" s="1"/>
    </row>
    <row r="941" spans="5:5" x14ac:dyDescent="0.2">
      <c r="E941" s="1"/>
    </row>
    <row r="942" spans="5:5" x14ac:dyDescent="0.2">
      <c r="E942" s="1"/>
    </row>
    <row r="943" spans="5:5" x14ac:dyDescent="0.2">
      <c r="E943" s="1"/>
    </row>
    <row r="944" spans="5:5" x14ac:dyDescent="0.2">
      <c r="E944" s="1"/>
    </row>
    <row r="945" spans="5:5" x14ac:dyDescent="0.2">
      <c r="E945" s="1"/>
    </row>
    <row r="946" spans="5:5" x14ac:dyDescent="0.2">
      <c r="E946" s="1"/>
    </row>
    <row r="947" spans="5:5" x14ac:dyDescent="0.2">
      <c r="E947" s="1"/>
    </row>
    <row r="948" spans="5:5" x14ac:dyDescent="0.2">
      <c r="E948" s="1"/>
    </row>
    <row r="949" spans="5:5" x14ac:dyDescent="0.2">
      <c r="E949" s="1"/>
    </row>
    <row r="950" spans="5:5" x14ac:dyDescent="0.2">
      <c r="E950" s="1"/>
    </row>
    <row r="951" spans="5:5" x14ac:dyDescent="0.2">
      <c r="E951" s="1"/>
    </row>
    <row r="952" spans="5:5" x14ac:dyDescent="0.2">
      <c r="E952" s="1"/>
    </row>
    <row r="953" spans="5:5" x14ac:dyDescent="0.2">
      <c r="E953" s="1"/>
    </row>
    <row r="954" spans="5:5" x14ac:dyDescent="0.2">
      <c r="E954" s="1"/>
    </row>
    <row r="955" spans="5:5" x14ac:dyDescent="0.2">
      <c r="E955" s="1"/>
    </row>
    <row r="956" spans="5:5" x14ac:dyDescent="0.2">
      <c r="E956" s="1"/>
    </row>
    <row r="957" spans="5:5" x14ac:dyDescent="0.2">
      <c r="E957" s="1"/>
    </row>
    <row r="958" spans="5:5" x14ac:dyDescent="0.2">
      <c r="E958" s="1"/>
    </row>
    <row r="959" spans="5:5" x14ac:dyDescent="0.2">
      <c r="E959" s="1"/>
    </row>
    <row r="960" spans="5:5" x14ac:dyDescent="0.2">
      <c r="E960" s="1"/>
    </row>
    <row r="961" spans="5:5" x14ac:dyDescent="0.2">
      <c r="E961" s="1"/>
    </row>
    <row r="962" spans="5:5" x14ac:dyDescent="0.2">
      <c r="E962" s="1"/>
    </row>
    <row r="963" spans="5:5" x14ac:dyDescent="0.2">
      <c r="E963" s="1"/>
    </row>
    <row r="964" spans="5:5" x14ac:dyDescent="0.2">
      <c r="E964" s="1"/>
    </row>
    <row r="965" spans="5:5" x14ac:dyDescent="0.2">
      <c r="E965" s="1"/>
    </row>
    <row r="966" spans="5:5" x14ac:dyDescent="0.2">
      <c r="E966" s="1"/>
    </row>
    <row r="967" spans="5:5" x14ac:dyDescent="0.2">
      <c r="E967" s="1"/>
    </row>
    <row r="968" spans="5:5" x14ac:dyDescent="0.2">
      <c r="E968" s="1"/>
    </row>
    <row r="969" spans="5:5" x14ac:dyDescent="0.2">
      <c r="E969" s="1"/>
    </row>
    <row r="970" spans="5:5" x14ac:dyDescent="0.2">
      <c r="E970" s="1"/>
    </row>
    <row r="971" spans="5:5" x14ac:dyDescent="0.2">
      <c r="E971" s="1"/>
    </row>
    <row r="972" spans="5:5" x14ac:dyDescent="0.2">
      <c r="E972" s="1"/>
    </row>
    <row r="973" spans="5:5" x14ac:dyDescent="0.2">
      <c r="E973" s="1"/>
    </row>
    <row r="974" spans="5:5" x14ac:dyDescent="0.2">
      <c r="E974" s="1"/>
    </row>
    <row r="975" spans="5:5" x14ac:dyDescent="0.2">
      <c r="E975" s="1"/>
    </row>
    <row r="976" spans="5:5" x14ac:dyDescent="0.2">
      <c r="E976" s="1"/>
    </row>
    <row r="977" spans="5:5" x14ac:dyDescent="0.2">
      <c r="E977" s="1"/>
    </row>
    <row r="978" spans="5:5" x14ac:dyDescent="0.2">
      <c r="E978" s="1"/>
    </row>
    <row r="979" spans="5:5" x14ac:dyDescent="0.2">
      <c r="E979" s="1"/>
    </row>
    <row r="980" spans="5:5" x14ac:dyDescent="0.2">
      <c r="E980" s="1"/>
    </row>
    <row r="981" spans="5:5" x14ac:dyDescent="0.2">
      <c r="E981" s="1"/>
    </row>
    <row r="982" spans="5:5" x14ac:dyDescent="0.2">
      <c r="E982" s="1"/>
    </row>
    <row r="983" spans="5:5" x14ac:dyDescent="0.2">
      <c r="E983" s="1"/>
    </row>
    <row r="984" spans="5:5" x14ac:dyDescent="0.2">
      <c r="E984" s="1"/>
    </row>
    <row r="985" spans="5:5" x14ac:dyDescent="0.2">
      <c r="E985" s="1"/>
    </row>
  </sheetData>
  <autoFilter ref="C1:K2" xr:uid="{00000000-0009-0000-0000-00000F000000}">
    <sortState xmlns:xlrd2="http://schemas.microsoft.com/office/spreadsheetml/2017/richdata2" ref="C2:J2">
      <sortCondition ref="C1:C2"/>
    </sortState>
  </autoFilter>
  <dataConsolidate/>
  <phoneticPr fontId="16" type="noConversion"/>
  <conditionalFormatting sqref="A1:B1 B1:L476">
    <cfRule type="expression" dxfId="2" priority="1">
      <formula>IF(A1&lt;&gt;"",TRUE,FALSE)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XuatKho">
    <tabColor theme="9" tint="0.79998168889431442"/>
  </sheetPr>
  <dimension ref="A1:R5"/>
  <sheetViews>
    <sheetView topLeftCell="E1" workbookViewId="0">
      <selection activeCell="G16" sqref="G16"/>
    </sheetView>
  </sheetViews>
  <sheetFormatPr defaultRowHeight="14.25" x14ac:dyDescent="0.2"/>
  <cols>
    <col min="1" max="1" width="4" bestFit="1" customWidth="1"/>
    <col min="2" max="2" width="14.125" customWidth="1"/>
    <col min="3" max="3" width="8.375" bestFit="1" customWidth="1"/>
    <col min="4" max="4" width="11.625" customWidth="1"/>
    <col min="5" max="5" width="10.875" bestFit="1" customWidth="1"/>
    <col min="6" max="6" width="11.375" bestFit="1" customWidth="1"/>
    <col min="7" max="7" width="9" bestFit="1" customWidth="1"/>
    <col min="8" max="8" width="4.625" bestFit="1" customWidth="1"/>
    <col min="9" max="9" width="8.875" bestFit="1" customWidth="1"/>
  </cols>
  <sheetData>
    <row r="1" spans="1:18" x14ac:dyDescent="0.2">
      <c r="A1" t="s">
        <v>7</v>
      </c>
      <c r="B1" t="s">
        <v>5</v>
      </c>
      <c r="C1" t="s">
        <v>0</v>
      </c>
      <c r="D1" t="s">
        <v>21</v>
      </c>
      <c r="E1" t="s">
        <v>22</v>
      </c>
      <c r="F1" t="s">
        <v>23</v>
      </c>
      <c r="G1" t="s">
        <v>9</v>
      </c>
      <c r="H1" t="s">
        <v>1</v>
      </c>
      <c r="I1" t="s">
        <v>16</v>
      </c>
      <c r="P1" t="s">
        <v>5</v>
      </c>
      <c r="Q1" t="s">
        <v>0</v>
      </c>
    </row>
    <row r="2" spans="1:18" x14ac:dyDescent="0.2">
      <c r="A2">
        <v>1</v>
      </c>
      <c r="B2" t="s">
        <v>39</v>
      </c>
      <c r="C2" t="s">
        <v>24</v>
      </c>
      <c r="D2" s="1">
        <v>45099</v>
      </c>
      <c r="E2" t="s">
        <v>36</v>
      </c>
      <c r="F2" t="s">
        <v>38</v>
      </c>
      <c r="G2" t="s">
        <v>26</v>
      </c>
      <c r="H2" t="s">
        <v>32</v>
      </c>
      <c r="I2">
        <v>50</v>
      </c>
      <c r="P2" t="s">
        <v>39</v>
      </c>
    </row>
    <row r="3" spans="1:18" x14ac:dyDescent="0.2">
      <c r="A3">
        <v>2</v>
      </c>
      <c r="B3" t="s">
        <v>65</v>
      </c>
      <c r="C3" t="s">
        <v>66</v>
      </c>
      <c r="D3" s="1">
        <v>45092</v>
      </c>
      <c r="E3" t="s">
        <v>64</v>
      </c>
      <c r="F3" t="s">
        <v>38</v>
      </c>
      <c r="G3" t="s">
        <v>26</v>
      </c>
      <c r="H3" t="s">
        <v>32</v>
      </c>
      <c r="I3">
        <v>50</v>
      </c>
    </row>
    <row r="5" spans="1:18" x14ac:dyDescent="0.2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</row>
  </sheetData>
  <conditionalFormatting sqref="A1:I4 A6:G499 H6:I500 A5:R5">
    <cfRule type="expression" dxfId="1" priority="1">
      <formula>IF(A1&lt;&gt;"",TRUE,FALSE)</formula>
    </cfRule>
  </conditionalFormatting>
  <dataValidations count="1">
    <dataValidation type="list" allowBlank="1" showInputMessage="1" showErrorMessage="1" sqref="K6" xr:uid="{00000000-0002-0000-1000-000000000000}">
      <formula1>mahang_xuatkho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TonKho">
    <tabColor theme="9" tint="0.79998168889431442"/>
  </sheetPr>
  <dimension ref="A1:O92"/>
  <sheetViews>
    <sheetView topLeftCell="G1" workbookViewId="0">
      <selection activeCell="G16" sqref="G16"/>
    </sheetView>
  </sheetViews>
  <sheetFormatPr defaultRowHeight="14.25" x14ac:dyDescent="0.2"/>
  <cols>
    <col min="1" max="1" width="5.375" customWidth="1"/>
    <col min="2" max="2" width="23.125" bestFit="1" customWidth="1"/>
    <col min="3" max="4" width="15.125" customWidth="1"/>
    <col min="5" max="5" width="13" customWidth="1"/>
    <col min="6" max="6" width="20.375" customWidth="1"/>
    <col min="7" max="9" width="14.625" customWidth="1"/>
    <col min="10" max="10" width="13.125" customWidth="1"/>
    <col min="11" max="11" width="15.375" customWidth="1"/>
    <col min="12" max="12" width="7.375" customWidth="1"/>
    <col min="13" max="13" width="8.75" customWidth="1"/>
    <col min="14" max="14" width="11" customWidth="1"/>
    <col min="15" max="15" width="10" bestFit="1" customWidth="1"/>
  </cols>
  <sheetData>
    <row r="1" spans="1:15" x14ac:dyDescent="0.2">
      <c r="A1" t="s">
        <v>7</v>
      </c>
      <c r="B1" t="s">
        <v>0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2</v>
      </c>
      <c r="K1" t="s">
        <v>3</v>
      </c>
      <c r="L1" t="s">
        <v>1</v>
      </c>
      <c r="M1" t="s">
        <v>16</v>
      </c>
      <c r="N1" t="s">
        <v>17</v>
      </c>
      <c r="O1" t="s">
        <v>4</v>
      </c>
    </row>
    <row r="2" spans="1:15" x14ac:dyDescent="0.2">
      <c r="A2">
        <v>1</v>
      </c>
      <c r="B2" t="s">
        <v>24</v>
      </c>
      <c r="C2" t="s">
        <v>26</v>
      </c>
      <c r="D2" t="s">
        <v>27</v>
      </c>
      <c r="E2" t="s">
        <v>25</v>
      </c>
      <c r="F2" t="s">
        <v>28</v>
      </c>
      <c r="G2" t="s">
        <v>29</v>
      </c>
      <c r="H2" t="s">
        <v>30</v>
      </c>
      <c r="I2" t="s">
        <v>31</v>
      </c>
      <c r="J2" t="s">
        <v>6</v>
      </c>
      <c r="K2" s="4" t="s">
        <v>8</v>
      </c>
      <c r="L2" t="s">
        <v>32</v>
      </c>
      <c r="M2">
        <v>50</v>
      </c>
      <c r="N2">
        <v>50000</v>
      </c>
      <c r="O2">
        <v>2500000</v>
      </c>
    </row>
    <row r="3" spans="1:15" x14ac:dyDescent="0.2">
      <c r="K3" s="4"/>
    </row>
    <row r="5" spans="1:15" x14ac:dyDescent="0.2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</row>
    <row r="6" spans="1:15" x14ac:dyDescent="0.2">
      <c r="A6" t="str">
        <f t="shared" ref="A6:A67" si="0">IF(B6="","",A5+1)</f>
        <v/>
      </c>
    </row>
    <row r="7" spans="1:15" x14ac:dyDescent="0.2">
      <c r="A7" t="str">
        <f t="shared" si="0"/>
        <v/>
      </c>
    </row>
    <row r="8" spans="1:15" x14ac:dyDescent="0.2">
      <c r="A8" t="str">
        <f t="shared" si="0"/>
        <v/>
      </c>
    </row>
    <row r="9" spans="1:15" x14ac:dyDescent="0.2">
      <c r="A9" t="str">
        <f t="shared" si="0"/>
        <v/>
      </c>
    </row>
    <row r="10" spans="1:15" x14ac:dyDescent="0.2">
      <c r="A10" t="str">
        <f t="shared" si="0"/>
        <v/>
      </c>
    </row>
    <row r="11" spans="1:15" x14ac:dyDescent="0.2">
      <c r="A11" t="str">
        <f t="shared" si="0"/>
        <v/>
      </c>
    </row>
    <row r="12" spans="1:15" x14ac:dyDescent="0.2">
      <c r="A12" t="str">
        <f t="shared" si="0"/>
        <v/>
      </c>
    </row>
    <row r="13" spans="1:15" x14ac:dyDescent="0.2">
      <c r="A13" t="str">
        <f t="shared" si="0"/>
        <v/>
      </c>
    </row>
    <row r="14" spans="1:15" x14ac:dyDescent="0.2">
      <c r="A14" t="str">
        <f t="shared" si="0"/>
        <v/>
      </c>
    </row>
    <row r="15" spans="1:15" x14ac:dyDescent="0.2">
      <c r="A15" t="str">
        <f t="shared" si="0"/>
        <v/>
      </c>
    </row>
    <row r="16" spans="1:15" x14ac:dyDescent="0.2">
      <c r="A16" t="str">
        <f t="shared" si="0"/>
        <v/>
      </c>
    </row>
    <row r="17" spans="1:1" x14ac:dyDescent="0.2">
      <c r="A17" t="str">
        <f t="shared" si="0"/>
        <v/>
      </c>
    </row>
    <row r="18" spans="1:1" x14ac:dyDescent="0.2">
      <c r="A18" t="str">
        <f t="shared" si="0"/>
        <v/>
      </c>
    </row>
    <row r="19" spans="1:1" x14ac:dyDescent="0.2">
      <c r="A19" t="str">
        <f t="shared" si="0"/>
        <v/>
      </c>
    </row>
    <row r="20" spans="1:1" x14ac:dyDescent="0.2">
      <c r="A20" t="str">
        <f t="shared" si="0"/>
        <v/>
      </c>
    </row>
    <row r="21" spans="1:1" x14ac:dyDescent="0.2">
      <c r="A21" t="str">
        <f t="shared" si="0"/>
        <v/>
      </c>
    </row>
    <row r="22" spans="1:1" x14ac:dyDescent="0.2">
      <c r="A22" t="str">
        <f t="shared" si="0"/>
        <v/>
      </c>
    </row>
    <row r="23" spans="1:1" x14ac:dyDescent="0.2">
      <c r="A23" t="str">
        <f t="shared" si="0"/>
        <v/>
      </c>
    </row>
    <row r="24" spans="1:1" x14ac:dyDescent="0.2">
      <c r="A24" t="str">
        <f t="shared" si="0"/>
        <v/>
      </c>
    </row>
    <row r="25" spans="1:1" x14ac:dyDescent="0.2">
      <c r="A25" t="str">
        <f t="shared" si="0"/>
        <v/>
      </c>
    </row>
    <row r="26" spans="1:1" x14ac:dyDescent="0.2">
      <c r="A26" t="str">
        <f t="shared" si="0"/>
        <v/>
      </c>
    </row>
    <row r="27" spans="1:1" x14ac:dyDescent="0.2">
      <c r="A27" t="str">
        <f t="shared" si="0"/>
        <v/>
      </c>
    </row>
    <row r="28" spans="1:1" x14ac:dyDescent="0.2">
      <c r="A28" t="str">
        <f t="shared" si="0"/>
        <v/>
      </c>
    </row>
    <row r="29" spans="1:1" x14ac:dyDescent="0.2">
      <c r="A29" t="str">
        <f t="shared" si="0"/>
        <v/>
      </c>
    </row>
    <row r="30" spans="1:1" x14ac:dyDescent="0.2">
      <c r="A30" t="str">
        <f t="shared" si="0"/>
        <v/>
      </c>
    </row>
    <row r="31" spans="1:1" x14ac:dyDescent="0.2">
      <c r="A31" t="str">
        <f t="shared" si="0"/>
        <v/>
      </c>
    </row>
    <row r="32" spans="1:1" x14ac:dyDescent="0.2">
      <c r="A32" t="str">
        <f t="shared" si="0"/>
        <v/>
      </c>
    </row>
    <row r="33" spans="1:1" x14ac:dyDescent="0.2">
      <c r="A33" t="str">
        <f t="shared" si="0"/>
        <v/>
      </c>
    </row>
    <row r="34" spans="1:1" x14ac:dyDescent="0.2">
      <c r="A34" t="str">
        <f t="shared" si="0"/>
        <v/>
      </c>
    </row>
    <row r="35" spans="1:1" x14ac:dyDescent="0.2">
      <c r="A35" t="str">
        <f t="shared" si="0"/>
        <v/>
      </c>
    </row>
    <row r="36" spans="1:1" x14ac:dyDescent="0.2">
      <c r="A36" t="str">
        <f t="shared" si="0"/>
        <v/>
      </c>
    </row>
    <row r="37" spans="1:1" x14ac:dyDescent="0.2">
      <c r="A37" t="str">
        <f t="shared" si="0"/>
        <v/>
      </c>
    </row>
    <row r="38" spans="1:1" x14ac:dyDescent="0.2">
      <c r="A38" t="str">
        <f t="shared" si="0"/>
        <v/>
      </c>
    </row>
    <row r="39" spans="1:1" x14ac:dyDescent="0.2">
      <c r="A39" t="str">
        <f t="shared" si="0"/>
        <v/>
      </c>
    </row>
    <row r="40" spans="1:1" x14ac:dyDescent="0.2">
      <c r="A40" t="str">
        <f t="shared" si="0"/>
        <v/>
      </c>
    </row>
    <row r="41" spans="1:1" x14ac:dyDescent="0.2">
      <c r="A41" t="str">
        <f t="shared" si="0"/>
        <v/>
      </c>
    </row>
    <row r="42" spans="1:1" x14ac:dyDescent="0.2">
      <c r="A42" t="str">
        <f t="shared" si="0"/>
        <v/>
      </c>
    </row>
    <row r="43" spans="1:1" x14ac:dyDescent="0.2">
      <c r="A43" t="str">
        <f t="shared" si="0"/>
        <v/>
      </c>
    </row>
    <row r="44" spans="1:1" x14ac:dyDescent="0.2">
      <c r="A44" t="str">
        <f t="shared" si="0"/>
        <v/>
      </c>
    </row>
    <row r="45" spans="1:1" x14ac:dyDescent="0.2">
      <c r="A45" t="str">
        <f t="shared" si="0"/>
        <v/>
      </c>
    </row>
    <row r="46" spans="1:1" x14ac:dyDescent="0.2">
      <c r="A46" t="str">
        <f t="shared" si="0"/>
        <v/>
      </c>
    </row>
    <row r="47" spans="1:1" x14ac:dyDescent="0.2">
      <c r="A47" t="str">
        <f t="shared" si="0"/>
        <v/>
      </c>
    </row>
    <row r="48" spans="1:1" x14ac:dyDescent="0.2">
      <c r="A48" t="str">
        <f t="shared" si="0"/>
        <v/>
      </c>
    </row>
    <row r="49" spans="1:1" x14ac:dyDescent="0.2">
      <c r="A49" t="str">
        <f t="shared" si="0"/>
        <v/>
      </c>
    </row>
    <row r="50" spans="1:1" x14ac:dyDescent="0.2">
      <c r="A50" t="str">
        <f t="shared" si="0"/>
        <v/>
      </c>
    </row>
    <row r="51" spans="1:1" x14ac:dyDescent="0.2">
      <c r="A51" t="str">
        <f t="shared" si="0"/>
        <v/>
      </c>
    </row>
    <row r="52" spans="1:1" x14ac:dyDescent="0.2">
      <c r="A52" t="str">
        <f t="shared" si="0"/>
        <v/>
      </c>
    </row>
    <row r="53" spans="1:1" x14ac:dyDescent="0.2">
      <c r="A53" t="str">
        <f t="shared" si="0"/>
        <v/>
      </c>
    </row>
    <row r="54" spans="1:1" x14ac:dyDescent="0.2">
      <c r="A54" t="str">
        <f t="shared" si="0"/>
        <v/>
      </c>
    </row>
    <row r="55" spans="1:1" x14ac:dyDescent="0.2">
      <c r="A55" t="str">
        <f t="shared" si="0"/>
        <v/>
      </c>
    </row>
    <row r="56" spans="1:1" x14ac:dyDescent="0.2">
      <c r="A56" t="str">
        <f t="shared" si="0"/>
        <v/>
      </c>
    </row>
    <row r="57" spans="1:1" x14ac:dyDescent="0.2">
      <c r="A57" t="str">
        <f t="shared" si="0"/>
        <v/>
      </c>
    </row>
    <row r="58" spans="1:1" x14ac:dyDescent="0.2">
      <c r="A58" t="str">
        <f t="shared" si="0"/>
        <v/>
      </c>
    </row>
    <row r="59" spans="1:1" x14ac:dyDescent="0.2">
      <c r="A59" t="str">
        <f t="shared" si="0"/>
        <v/>
      </c>
    </row>
    <row r="60" spans="1:1" x14ac:dyDescent="0.2">
      <c r="A60" t="str">
        <f t="shared" si="0"/>
        <v/>
      </c>
    </row>
    <row r="61" spans="1:1" x14ac:dyDescent="0.2">
      <c r="A61" t="str">
        <f t="shared" si="0"/>
        <v/>
      </c>
    </row>
    <row r="62" spans="1:1" x14ac:dyDescent="0.2">
      <c r="A62" t="str">
        <f t="shared" si="0"/>
        <v/>
      </c>
    </row>
    <row r="63" spans="1:1" x14ac:dyDescent="0.2">
      <c r="A63" t="str">
        <f t="shared" si="0"/>
        <v/>
      </c>
    </row>
    <row r="64" spans="1:1" x14ac:dyDescent="0.2">
      <c r="A64" t="str">
        <f t="shared" si="0"/>
        <v/>
      </c>
    </row>
    <row r="65" spans="1:1" x14ac:dyDescent="0.2">
      <c r="A65" t="str">
        <f t="shared" si="0"/>
        <v/>
      </c>
    </row>
    <row r="66" spans="1:1" x14ac:dyDescent="0.2">
      <c r="A66" t="str">
        <f t="shared" si="0"/>
        <v/>
      </c>
    </row>
    <row r="67" spans="1:1" x14ac:dyDescent="0.2">
      <c r="A67" t="str">
        <f t="shared" si="0"/>
        <v/>
      </c>
    </row>
    <row r="68" spans="1:1" x14ac:dyDescent="0.2">
      <c r="A68" t="str">
        <f t="shared" ref="A68:A92" si="1">IF(B68="","",A67+1)</f>
        <v/>
      </c>
    </row>
    <row r="69" spans="1:1" x14ac:dyDescent="0.2">
      <c r="A69" t="str">
        <f t="shared" si="1"/>
        <v/>
      </c>
    </row>
    <row r="70" spans="1:1" x14ac:dyDescent="0.2">
      <c r="A70" t="str">
        <f t="shared" si="1"/>
        <v/>
      </c>
    </row>
    <row r="71" spans="1:1" x14ac:dyDescent="0.2">
      <c r="A71" t="str">
        <f t="shared" si="1"/>
        <v/>
      </c>
    </row>
    <row r="72" spans="1:1" x14ac:dyDescent="0.2">
      <c r="A72" t="str">
        <f t="shared" si="1"/>
        <v/>
      </c>
    </row>
    <row r="73" spans="1:1" x14ac:dyDescent="0.2">
      <c r="A73" t="str">
        <f t="shared" si="1"/>
        <v/>
      </c>
    </row>
    <row r="74" spans="1:1" x14ac:dyDescent="0.2">
      <c r="A74" t="str">
        <f t="shared" si="1"/>
        <v/>
      </c>
    </row>
    <row r="75" spans="1:1" x14ac:dyDescent="0.2">
      <c r="A75" t="str">
        <f t="shared" si="1"/>
        <v/>
      </c>
    </row>
    <row r="76" spans="1:1" x14ac:dyDescent="0.2">
      <c r="A76" t="str">
        <f t="shared" si="1"/>
        <v/>
      </c>
    </row>
    <row r="77" spans="1:1" x14ac:dyDescent="0.2">
      <c r="A77" t="str">
        <f t="shared" si="1"/>
        <v/>
      </c>
    </row>
    <row r="78" spans="1:1" x14ac:dyDescent="0.2">
      <c r="A78" t="str">
        <f t="shared" si="1"/>
        <v/>
      </c>
    </row>
    <row r="79" spans="1:1" x14ac:dyDescent="0.2">
      <c r="A79" t="str">
        <f t="shared" si="1"/>
        <v/>
      </c>
    </row>
    <row r="80" spans="1:1" x14ac:dyDescent="0.2">
      <c r="A80" t="str">
        <f t="shared" si="1"/>
        <v/>
      </c>
    </row>
    <row r="81" spans="1:1" x14ac:dyDescent="0.2">
      <c r="A81" t="str">
        <f t="shared" si="1"/>
        <v/>
      </c>
    </row>
    <row r="82" spans="1:1" x14ac:dyDescent="0.2">
      <c r="A82" t="str">
        <f t="shared" si="1"/>
        <v/>
      </c>
    </row>
    <row r="83" spans="1:1" x14ac:dyDescent="0.2">
      <c r="A83" t="str">
        <f t="shared" si="1"/>
        <v/>
      </c>
    </row>
    <row r="84" spans="1:1" x14ac:dyDescent="0.2">
      <c r="A84" t="str">
        <f t="shared" si="1"/>
        <v/>
      </c>
    </row>
    <row r="85" spans="1:1" x14ac:dyDescent="0.2">
      <c r="A85" t="str">
        <f t="shared" si="1"/>
        <v/>
      </c>
    </row>
    <row r="86" spans="1:1" x14ac:dyDescent="0.2">
      <c r="A86" t="str">
        <f t="shared" si="1"/>
        <v/>
      </c>
    </row>
    <row r="87" spans="1:1" x14ac:dyDescent="0.2">
      <c r="A87" t="str">
        <f t="shared" si="1"/>
        <v/>
      </c>
    </row>
    <row r="88" spans="1:1" x14ac:dyDescent="0.2">
      <c r="A88" t="str">
        <f t="shared" si="1"/>
        <v/>
      </c>
    </row>
    <row r="89" spans="1:1" x14ac:dyDescent="0.2">
      <c r="A89" t="str">
        <f t="shared" si="1"/>
        <v/>
      </c>
    </row>
    <row r="90" spans="1:1" x14ac:dyDescent="0.2">
      <c r="A90" t="str">
        <f t="shared" si="1"/>
        <v/>
      </c>
    </row>
    <row r="91" spans="1:1" x14ac:dyDescent="0.2">
      <c r="A91" t="str">
        <f t="shared" si="1"/>
        <v/>
      </c>
    </row>
    <row r="92" spans="1:1" x14ac:dyDescent="0.2">
      <c r="A92" t="str">
        <f t="shared" si="1"/>
        <v/>
      </c>
    </row>
  </sheetData>
  <conditionalFormatting sqref="A1:O400">
    <cfRule type="expression" dxfId="0" priority="1">
      <formula>IF(A1&lt;&gt;"",TRUE,FALSE)</formula>
    </cfRule>
  </conditionalFormatting>
  <pageMargins left="0.7" right="0.7" top="0.75" bottom="0.75" header="0.3" footer="0.3"/>
  <pageSetup paperSize="9" scale="53" orientation="portrait" r:id="rId1"/>
</worksheet>
</file>

<file path=customUI/customUI14.xml><?xml version="1.0" encoding="utf-8"?>
<customUI xmlns="http://schemas.microsoft.com/office/2009/07/customui">
  <ribbon startFromScratch="false">
    <tabs>
      <tab id="TTNDVN" label="Phần mềm hỗ trợ đấu thầu">
        <group id="About" label="About">
          <button id="BackupPhanMem" label="+ Backup phần mềm" onAction="BackupPhanMem"/>
          <button id="PhienBan" label="+ Phiên bản phần mềm" onAction="PhienBan"/>
          <button id="VersionBieuMau" label="+ Check phiên bản biểu mẫu" onAction="VerBieuMau"/>
        </group>
        <group id="ModuleDuToan" label="Dự toán">
          <button id="DuToan" label="+ Mở module Dự toán" onAction="DuToan"/>
          <button id="XuatTMNV" label="+ Xuất ra bản TMNV" onAction="XuatTMNV"/>
        </group>
        <group id="ModuleDauThau" label="Hỗ trợ đấu thầu">
          <button id="DauThau" label="+ Mở userform" onAction="DauThau"/>
          <button id="BCDauThau" label="+ Báo cáo đấu thầu" onAction="BCDauThau"/>
        </group>
        <group id="ModuleChamCong" label="Chấm công">
          <button id="ThietLap_ChamCong" label="+ Đặt đường dẫn Bảng công tổng" onAction="ThietLap_ChamCong"/>
          <button id="TaoFolderCongPhong" label="+ Tạo folder công phòng" onAction="TaoFolderCongPhong"/>
          <button id="TaoMoiBangCong" label="+ Tạo bảng công mới" onAction="TaoMoiBangCong"/>
          <button id="MoBangCongDeTai" label="+ Mở bảng công đã tạo" onAction="MoBangCongDeTai"/>
          <button id="XemBangCongTong" label="+ Xem bảng công tổng" onAction="XemBangCongTong"/>
          <button id="ViewBangCongTong" label="+ Báo cáo chấm công" onAction="ViewBangCongTong"/>
        </group>
        <group id="ModuleQuanLyKho" label="Quản lý kho">
          <button id="ThietLap_Kho" label="+ Thiết lập" onAction="ThietLap_Kho"/>
          <button id="NhapKho" label="+ Nhập kho" onAction="NhapKho"/>
          <button id="XuatKho" label="+ Xuất kho" onAction="XuatKho"/>
          <button id="TheTaiSan" label="+ Lập thẻ tài sản" onAction="TheTaiSan"/>
          <button id="TheoDoiVatTu" label="+ Sổ theo dõi vật tư, tài sản" onAction="TheoDoiVatTu"/>
        </group>
        <group id="ModuleCSDL" label="Cơ sở dữ liệu">
          <button id="BieuMau" label="+ Biểu mẫu" onAction="BieuMau"/>
          <button id="HangHoa" label="+ Hàng hóa" onAction="HangHoa"/>
          <button id="NhanVien" label="+ Cán bộ, nhân viên" onAction="NhanVien"/>
          <button id="NhaCungCap" label="+ Nhà cung cấp" onAction="NhaCungCap"/>
          <button id="DinhMuc" label="+ Định mức dự toán" onAction="DinhMuc"/>
          <button id="VanBanPhapLy" label="+ Văn bản pháp lý" onAction="VanBanPhapLy"/>
        </group>
        <group id="TraCuu" label="Tra cứu">
          <button id="TraCSDL" label="+ Tra cứu cơ sở dữ liệu" onAction="TraCSDL"/>
          <button id="HDSDPhanMem" label="+ Hướng dẫn sử dụng phần mềm" onAction="HDSDPhanMem"/>
          <button id="VideoPhanMem" label="+ Video hướng dẫn" onAction="VideoPhanMem"/>
          <button id="VBDauThau" label="+ Quy định về đấu thầu" onAction="VBDauThau"/>
          <button id="VBQLKH" label="+ Quy định quản lý khoa học" onAction="VBQLKH"/>
          <button id="MangDTQD" label="+ Mạng đấu thầu quốc gia" onAction="MangDTQD"/>
          <button id="TraHoaDon" label="+ Tra cứu hóa đơn" onAction="TraHoaDon"/>
          <button id="TraBaoDauThau" label="+ Tra cứu báo đấu thầu" onAction="TraBaoDauTha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14</vt:i4>
      </vt:variant>
    </vt:vector>
  </HeadingPairs>
  <TitlesOfParts>
    <vt:vector size="32" baseType="lpstr">
      <vt:lpstr>Menu</vt:lpstr>
      <vt:lpstr>Config</vt:lpstr>
      <vt:lpstr>OutputDauThau</vt:lpstr>
      <vt:lpstr>InputDauThau</vt:lpstr>
      <vt:lpstr>DL_NhaThau</vt:lpstr>
      <vt:lpstr>DL_CB</vt:lpstr>
      <vt:lpstr>DL_DinhMucDuToan</vt:lpstr>
      <vt:lpstr>TongDT</vt:lpstr>
      <vt:lpstr>CLD</vt:lpstr>
      <vt:lpstr>NVL</vt:lpstr>
      <vt:lpstr>TTB</vt:lpstr>
      <vt:lpstr>CKhac</vt:lpstr>
      <vt:lpstr>DL_HH</vt:lpstr>
      <vt:lpstr>InputDuToan</vt:lpstr>
      <vt:lpstr>ChiTietKP_DuToan</vt:lpstr>
      <vt:lpstr>NhapKho</vt:lpstr>
      <vt:lpstr>XuatKho</vt:lpstr>
      <vt:lpstr>TonKho</vt:lpstr>
      <vt:lpstr>AppBuiltTime</vt:lpstr>
      <vt:lpstr>Bang2_KoDT</vt:lpstr>
      <vt:lpstr>DL_NhapKho</vt:lpstr>
      <vt:lpstr>DLG_CanBo</vt:lpstr>
      <vt:lpstr>DLG_DinhMuc</vt:lpstr>
      <vt:lpstr>DLG_DonVi</vt:lpstr>
      <vt:lpstr>DLG_HH</vt:lpstr>
      <vt:lpstr>DLG_NhaThau</vt:lpstr>
      <vt:lpstr>dsGoiThau</vt:lpstr>
      <vt:lpstr>dsNT_BiLoai</vt:lpstr>
      <vt:lpstr>dsNT_ThamDu</vt:lpstr>
      <vt:lpstr>HS_tiencong</vt:lpstr>
      <vt:lpstr>LuongCS</vt:lpstr>
      <vt:lpstr>TonKho!Print_Area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Doan Van</cp:lastModifiedBy>
  <cp:lastPrinted>2023-06-21T01:19:11Z</cp:lastPrinted>
  <dcterms:created xsi:type="dcterms:W3CDTF">2006-09-16T00:00:00Z</dcterms:created>
  <dcterms:modified xsi:type="dcterms:W3CDTF">2024-06-13T04:30:51Z</dcterms:modified>
</cp:coreProperties>
</file>